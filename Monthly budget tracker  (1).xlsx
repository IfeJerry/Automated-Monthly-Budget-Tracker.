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x+L4FwOzSQ45dMbTl8i/VOVRyUXYRDK71WbxqPy8m8="/>
    </ext>
  </extLst>
</workbook>
</file>

<file path=xl/sharedStrings.xml><?xml version="1.0" encoding="utf-8"?>
<sst xmlns="http://schemas.openxmlformats.org/spreadsheetml/2006/main" count="70" uniqueCount="51">
  <si>
    <t>Monthly Budget Tracker</t>
  </si>
  <si>
    <t>Monthly Income:</t>
  </si>
  <si>
    <t>Current Month spending:</t>
  </si>
  <si>
    <t>Remaining Amount:</t>
  </si>
  <si>
    <t>Yearly Savings Goal:</t>
  </si>
  <si>
    <t>Progress:</t>
  </si>
  <si>
    <t>Progress Bar:</t>
  </si>
  <si>
    <t>Savings Status:</t>
  </si>
  <si>
    <t>Days Left in this Month:</t>
  </si>
  <si>
    <t xml:space="preserve">Month </t>
  </si>
  <si>
    <t xml:space="preserve">Income </t>
  </si>
  <si>
    <t xml:space="preserve">January 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</si>
  <si>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</si>
  <si>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</si>
  <si>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</si>
  <si>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</si>
  <si>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</si>
  <si>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</si>
  <si>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</si>
  <si>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</si>
  <si>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</si>
  <si>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</si>
  <si>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</si>
  <si>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Visualization Section </t>
  </si>
  <si>
    <t>All-Time Category Totals</t>
  </si>
  <si>
    <t>Needs</t>
  </si>
  <si>
    <t xml:space="preserve">Wants </t>
  </si>
  <si>
    <t xml:space="preserve">Savings </t>
  </si>
  <si>
    <t>Others</t>
  </si>
  <si>
    <t>Selected Month Spending Breakdown</t>
  </si>
  <si>
    <t>Date</t>
  </si>
  <si>
    <t>Month</t>
  </si>
  <si>
    <t xml:space="preserve">Description </t>
  </si>
  <si>
    <t xml:space="preserve">Amount </t>
  </si>
  <si>
    <t xml:space="preserve">Category </t>
  </si>
  <si>
    <t>Bills</t>
  </si>
  <si>
    <t>Lunch</t>
  </si>
  <si>
    <t>save</t>
  </si>
  <si>
    <t>Savings</t>
  </si>
  <si>
    <t>polo</t>
  </si>
  <si>
    <t>Wants</t>
  </si>
  <si>
    <t>phone</t>
  </si>
  <si>
    <t>food</t>
  </si>
  <si>
    <t xml:space="preserve">Rent </t>
  </si>
  <si>
    <t xml:space="preserve">savings </t>
  </si>
  <si>
    <t>shoe</t>
  </si>
  <si>
    <t>lunch</t>
  </si>
  <si>
    <t xml:space="preserve">donation </t>
  </si>
  <si>
    <t xml:space="preserve">television </t>
  </si>
  <si>
    <t>bills</t>
  </si>
  <si>
    <t xml:space="preserve">laptop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</si>
</sst>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"/>
    <numFmt numFmtId="166" formatCode="M/d/yyyy"/>
  </numFmts>
  <fonts count="7">
    <font>
      <sz val="10.0"/>
      <color rgb="FF000000"/>
      <name val="Arial"/>
      <scheme val="minor"/>
    </font>
    <font>
      <b/>
      <sz val="18.0"/>
      <color theme="1"/>
      <name val="Comic Sans MS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7">
    <border/>
    <border>
      <left style="thick">
        <color rgb="FF0000FF"/>
      </left>
      <top style="thick">
        <color rgb="FF0000FF"/>
      </top>
      <bottom style="thick">
        <color rgb="FF0000FF"/>
      </bottom>
    </border>
    <border>
      <right style="thick">
        <color rgb="FF0000FF"/>
      </right>
      <top style="thick">
        <color rgb="FF0000FF"/>
      </top>
      <bottom style="thick">
        <color rgb="FF0000FF"/>
      </bottom>
    </border>
    <border>
      <bottom style="thick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bottom style="thick">
        <color rgb="FF00FF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2" numFmtId="164" xfId="0" applyAlignment="1" applyFill="1" applyFont="1" applyNumberFormat="1">
      <alignment horizontal="center"/>
    </xf>
    <xf borderId="0" fillId="0" fontId="2" numFmtId="0" xfId="0" applyAlignment="1" applyFont="1">
      <alignment vertical="bottom"/>
    </xf>
    <xf borderId="1" fillId="0" fontId="2" numFmtId="0" xfId="0" applyBorder="1" applyFont="1"/>
    <xf borderId="2" fillId="0" fontId="3" numFmtId="0" xfId="0" applyBorder="1" applyFont="1"/>
    <xf borderId="3" fillId="0" fontId="2" numFmtId="0" xfId="0" applyBorder="1" applyFont="1"/>
    <xf borderId="0" fillId="4" fontId="2" numFmtId="0" xfId="0" applyAlignment="1" applyFill="1" applyFont="1">
      <alignment horizontal="center"/>
    </xf>
    <xf borderId="0" fillId="2" fontId="4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0" fillId="0" fontId="4" numFmtId="0" xfId="0" applyAlignment="1" applyFont="1">
      <alignment horizontal="center"/>
    </xf>
    <xf borderId="3" fillId="0" fontId="2" numFmtId="0" xfId="0" applyAlignment="1" applyBorder="1" applyFont="1">
      <alignment horizontal="center"/>
    </xf>
    <xf borderId="3" fillId="0" fontId="3" numFmtId="0" xfId="0" applyBorder="1" applyFont="1"/>
    <xf borderId="0" fillId="0" fontId="2" numFmtId="164" xfId="0" applyFont="1" applyNumberFormat="1"/>
    <xf borderId="6" fillId="0" fontId="2" numFmtId="0" xfId="0" applyBorder="1" applyFont="1"/>
    <xf borderId="6" fillId="0" fontId="5" numFmtId="0" xfId="0" applyBorder="1" applyFont="1"/>
    <xf borderId="0" fillId="2" fontId="4" numFmtId="0" xfId="0" applyFont="1"/>
    <xf borderId="0" fillId="0" fontId="4" numFmtId="0" xfId="0" applyFont="1"/>
    <xf borderId="0" fillId="0" fontId="2" numFmtId="14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6" numFmtId="0" xfId="0" applyFont="1"/>
  </cellXfs>
  <cellStyles count="1">
    <cellStyle xfId="0" name="Normal" builtinId="0"/>
  </cellStyles>
  <dxfs count="1">
    <dxf>
      <font>
        <color rgb="FFFF0000"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Accumulated Months Pie Chart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38761D"/>
              </a:solidFill>
            </c:spPr>
          </c:dPt>
          <c:dPt>
            <c:idx val="1"/>
            <c:spPr>
              <a:solidFill>
                <a:srgbClr val="B45F06"/>
              </a:solidFill>
            </c:spPr>
          </c:dPt>
          <c:dPt>
            <c:idx val="2"/>
            <c:spPr>
              <a:solidFill>
                <a:srgbClr val="1155CC"/>
              </a:solidFill>
            </c:spPr>
          </c:dPt>
          <c:dPt>
            <c:idx val="3"/>
            <c:spPr>
              <a:solidFill>
                <a:srgbClr val="66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Sheet1!$B$43:$B$46</c:f>
            </c:strRef>
          </c:cat>
          <c:val>
            <c:numRef>
              <c:f>Sheet1!$C$43:$C$46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757575"/>
                </a:solidFill>
                <a:latin typeface="+mn-lt"/>
              </a:defRPr>
            </a:pPr>
            <a:r>
              <a:rPr b="0" i="0" sz="1600">
                <a:solidFill>
                  <a:srgbClr val="757575"/>
                </a:solidFill>
                <a:latin typeface="+mn-lt"/>
              </a:rPr>
              <a:t>Selected Month Pie Chart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E69138"/>
              </a:solidFill>
            </c:spPr>
          </c:dPt>
          <c:dPt>
            <c:idx val="2"/>
            <c:spPr>
              <a:solidFill>
                <a:srgbClr val="3C78D8"/>
              </a:solidFill>
            </c:spPr>
          </c:dPt>
          <c:dPt>
            <c:idx val="3"/>
            <c:spPr>
              <a:solidFill>
                <a:srgbClr val="9999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Sheet1!$B$54:$B$57</c:f>
            </c:strRef>
          </c:cat>
          <c:val>
            <c:numRef>
              <c:f>Sheet1!$C$54:$C$57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238125</xdr:colOff>
      <xdr:row>33</xdr:row>
      <xdr:rowOff>133350</xdr:rowOff>
    </xdr:from>
    <xdr:ext cx="4848225" cy="4772025"/>
    <xdr:graphicFrame>
      <xdr:nvGraphicFramePr>
        <xdr:cNvPr id="691207980" name="Chart 1" title="Accumulated Months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64</xdr:row>
      <xdr:rowOff>0</xdr:rowOff>
    </xdr:from>
    <xdr:ext cx="5343525" cy="4305300"/>
    <xdr:graphicFrame>
      <xdr:nvGraphicFramePr>
        <xdr:cNvPr id="1378323757" name="Chart 2" title="Selected Month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25"/>
    <col customWidth="1" min="3" max="3" width="14.75"/>
    <col customWidth="1" min="4" max="6" width="12.63"/>
  </cols>
  <sheetData>
    <row r="1" ht="15.75" customHeight="1">
      <c r="A1" s="1" t="s">
        <v>0</v>
      </c>
    </row>
    <row r="2" ht="15.75" customHeight="1"/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2" t="s">
        <v>1</v>
      </c>
      <c r="C4" s="3" t="str">
        <f t="array" ref="C4">IF(
  ISBLANK(INDEX(B22:B33, MATCH(TEXT(TODAY(), "mmmm"), A22:A33, 0))),
  "Add " &amp; TEXT(TODAY(), "mmmm") &amp; " Income",
  INDEX(B22:B33, MATCH(TEXT(TODAY(), "mmmm"), A22:A33, 0))
)</f>
        <v>Add June Income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 t="s">
        <v>2</v>
      </c>
      <c r="C6" s="3">
        <f>-SUMIFS(D:D, B:B, TEXT(TODAY(), "mmmm"))</f>
        <v>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 t="s">
        <v>3</v>
      </c>
      <c r="C8" s="3" t="str">
        <f>IF(ISNUMBER(B3), B3 - B5, "")</f>
        <v/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 t="s">
        <v>4</v>
      </c>
      <c r="C10" s="3">
        <v>500.0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 t="s">
        <v>5</v>
      </c>
      <c r="B12" s="2"/>
      <c r="C12" s="3">
        <f>-SUMIF(E65:E1001, "Savings", D65:D1001)</f>
        <v>150</v>
      </c>
      <c r="E12" s="2"/>
      <c r="F12" s="2"/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 t="s">
        <v>6</v>
      </c>
      <c r="C14" s="5" t="str">
        <f>IFERROR(__xludf.DUMMYFUNCTION("IF(C10:D10=0, """", SPARKLINE(C12:D12/C10:D10, {""charttype"",""bar"";""max"",1;""color1"",""#00CC00""}))"),"")</f>
        <v/>
      </c>
      <c r="D14" s="6"/>
      <c r="E14" s="2"/>
      <c r="F14" s="2"/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 t="s">
        <v>7</v>
      </c>
      <c r="B16" s="2"/>
      <c r="C16" s="2" t="str">
        <f>IF( C12:D12&gt;=C10:D10, "Goal Achieved! 🎉", "Keep Going – " &amp; TEXT(C10:D10-C12:D12 ,"$#,##0") &amp; " left")</f>
        <v>Keep Going – $350 left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 t="s">
        <v>8</v>
      </c>
      <c r="C19" s="8">
        <f>EOMONTH(TODAY(),0)-TODAY()</f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9" t="s">
        <v>9</v>
      </c>
      <c r="B21" s="9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0" t="s">
        <v>11</v>
      </c>
      <c r="B22" s="11">
        <v>2500.0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2" t="s">
        <v>12</v>
      </c>
      <c r="B23" s="11">
        <v>2800.0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2" t="s">
        <v>13</v>
      </c>
      <c r="B24" s="11">
        <v>2500.0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0" t="s">
        <v>14</v>
      </c>
      <c r="B25" s="11">
        <v>2500.0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0" t="s">
        <v>15</v>
      </c>
      <c r="B26" s="1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0" t="s">
        <v>16</v>
      </c>
      <c r="B27" s="1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0" t="s">
        <v>17</v>
      </c>
      <c r="B28" s="1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0" t="s">
        <v>18</v>
      </c>
      <c r="B29" s="1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0" t="s">
        <v>19</v>
      </c>
      <c r="B30" s="1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0" t="s">
        <v>20</v>
      </c>
      <c r="B31" s="1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0" t="s">
        <v>21</v>
      </c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0" t="s">
        <v>22</v>
      </c>
      <c r="B33" s="1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5"/>
      <c r="K35" s="15"/>
      <c r="L35" s="15"/>
      <c r="M35" s="15"/>
      <c r="N35" s="15"/>
      <c r="O35" s="1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16" t="s">
        <v>23</v>
      </c>
      <c r="F38" s="1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F39" s="1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17" t="s">
        <v>24</v>
      </c>
      <c r="C41" s="1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4" t="s">
        <v>25</v>
      </c>
      <c r="C43" s="19">
        <f>-SUMIF(E65:E1001, "Needs", D65:D1001)</f>
        <v>649.8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4" t="s">
        <v>26</v>
      </c>
      <c r="C44" s="19">
        <f>-SUMIF(E65:E1001, "Wants", D65:D1001)</f>
        <v>802.75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4" t="s">
        <v>27</v>
      </c>
      <c r="C45" s="19">
        <f>-SUMIF(E65:E1001, "Savings", D65:D1001)</f>
        <v>150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4" t="s">
        <v>28</v>
      </c>
      <c r="C46" s="19">
        <f>-SUMIF(E65:E1001, "Others", D65:D1001)</f>
        <v>1180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0"/>
      <c r="B49" s="21"/>
      <c r="C49" s="21"/>
      <c r="D49" s="20"/>
      <c r="E49" s="20"/>
      <c r="F49" s="20"/>
      <c r="G49" s="20"/>
      <c r="H49" s="20"/>
      <c r="I49" s="20"/>
      <c r="J49" s="20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D50" s="2"/>
      <c r="E50" s="2"/>
      <c r="F50" s="2"/>
      <c r="G50" s="2"/>
      <c r="H50" s="2"/>
      <c r="I50" s="2"/>
      <c r="J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D51" s="2"/>
      <c r="E51" s="2" t="s">
        <v>13</v>
      </c>
      <c r="F51" s="2"/>
      <c r="G51" s="2"/>
      <c r="H51" s="2" t="str">
        <f>IF(SUM(C54:C57)=0, "No expenses recorded for " &amp; E51 &amp; " yet", "")</f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17" t="s">
        <v>29</v>
      </c>
      <c r="C52" s="18"/>
      <c r="D52" s="18"/>
      <c r="E52" s="2"/>
      <c r="F52" s="2"/>
      <c r="G52" s="2"/>
      <c r="H52" s="2"/>
      <c r="I52" s="2"/>
      <c r="J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D53" s="2"/>
      <c r="E53" s="2"/>
      <c r="F53" s="2"/>
      <c r="G53" s="2"/>
      <c r="H53" s="2"/>
      <c r="I53" s="2"/>
      <c r="J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4" t="s">
        <v>25</v>
      </c>
      <c r="C54" s="19">
        <f>-SUMIFS(D65:D1001, E65:E1001, "Needs", B65:B1001, E51)</f>
        <v>5</v>
      </c>
      <c r="D54" s="2"/>
      <c r="E54" s="2"/>
      <c r="F54" s="2"/>
      <c r="G54" s="2"/>
      <c r="H54" s="2"/>
      <c r="I54" s="2"/>
      <c r="J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4" t="s">
        <v>26</v>
      </c>
      <c r="C55" s="19">
        <f>-SUMIFS(D65:D1001, E65:E1001, "Wants", B65:B1001, E51)</f>
        <v>280</v>
      </c>
      <c r="D55" s="2"/>
      <c r="E55" s="2"/>
      <c r="F55" s="2"/>
      <c r="G55" s="2"/>
      <c r="H55" s="2"/>
      <c r="I55" s="2"/>
      <c r="J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4" t="s">
        <v>27</v>
      </c>
      <c r="C56" s="19">
        <f>-SUMIFS(D65:D1001, E65:E1001, "Savings", B65:B1001, E51)</f>
        <v>80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4" t="s">
        <v>28</v>
      </c>
      <c r="C57" s="19">
        <f>-SUMIFS(D65:D1001, E65:E1001, "Others", B65:B1001, E51)</f>
        <v>25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15"/>
      <c r="L62" s="15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9" t="s">
        <v>30</v>
      </c>
      <c r="B64" s="9" t="s">
        <v>31</v>
      </c>
      <c r="C64" s="9" t="s">
        <v>32</v>
      </c>
      <c r="D64" s="9" t="s">
        <v>33</v>
      </c>
      <c r="E64" s="22" t="s">
        <v>34</v>
      </c>
      <c r="F64" s="2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4">
        <v>46032.0</v>
      </c>
      <c r="B65" s="12" t="str">
        <f t="shared" ref="B65:B458" si="1">IF(ISBLANK(A65), "", TEXT(A65, "mmmm"))</f>
        <v>January</v>
      </c>
      <c r="C65" s="12" t="s">
        <v>35</v>
      </c>
      <c r="D65" s="11">
        <v>-55.0</v>
      </c>
      <c r="E65" s="12" t="s">
        <v>28</v>
      </c>
      <c r="F65" s="1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4">
        <v>46023.0</v>
      </c>
      <c r="B66" s="12" t="str">
        <f t="shared" si="1"/>
        <v>January</v>
      </c>
      <c r="C66" s="12" t="s">
        <v>36</v>
      </c>
      <c r="D66" s="11">
        <v>-6.0</v>
      </c>
      <c r="E66" s="12" t="s">
        <v>25</v>
      </c>
      <c r="F66" s="1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4">
        <v>46067.0</v>
      </c>
      <c r="B67" s="12" t="str">
        <f t="shared" si="1"/>
        <v>February</v>
      </c>
      <c r="C67" s="12" t="s">
        <v>37</v>
      </c>
      <c r="D67" s="11">
        <v>-70.0</v>
      </c>
      <c r="E67" s="12" t="s">
        <v>38</v>
      </c>
      <c r="F67" s="1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4">
        <v>46069.0</v>
      </c>
      <c r="B68" s="12" t="str">
        <f t="shared" si="1"/>
        <v>February</v>
      </c>
      <c r="C68" s="12" t="s">
        <v>39</v>
      </c>
      <c r="D68" s="11">
        <v>-22.75</v>
      </c>
      <c r="E68" s="12" t="s">
        <v>40</v>
      </c>
      <c r="F68" s="1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4">
        <v>46074.0</v>
      </c>
      <c r="B69" s="12" t="str">
        <f t="shared" si="1"/>
        <v>February</v>
      </c>
      <c r="C69" s="11" t="s">
        <v>41</v>
      </c>
      <c r="D69" s="11">
        <v>-500.0</v>
      </c>
      <c r="E69" s="12" t="s">
        <v>40</v>
      </c>
      <c r="F69" s="1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4">
        <v>46078.0</v>
      </c>
      <c r="B70" s="12" t="str">
        <f t="shared" si="1"/>
        <v>February</v>
      </c>
      <c r="C70" s="11" t="s">
        <v>42</v>
      </c>
      <c r="D70" s="11">
        <v>-138.8</v>
      </c>
      <c r="E70" s="12" t="s">
        <v>25</v>
      </c>
      <c r="F70" s="1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4">
        <v>46080.0</v>
      </c>
      <c r="B71" s="12" t="str">
        <f t="shared" si="1"/>
        <v>February</v>
      </c>
      <c r="C71" s="11" t="s">
        <v>43</v>
      </c>
      <c r="D71" s="11">
        <v>-1100.0</v>
      </c>
      <c r="E71" s="12" t="s">
        <v>28</v>
      </c>
      <c r="F71" s="1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4">
        <v>46103.0</v>
      </c>
      <c r="B72" s="12" t="str">
        <f t="shared" si="1"/>
        <v>March</v>
      </c>
      <c r="C72" s="11" t="s">
        <v>44</v>
      </c>
      <c r="D72" s="11">
        <v>-80.0</v>
      </c>
      <c r="E72" s="12" t="s">
        <v>38</v>
      </c>
      <c r="F72" s="1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4">
        <v>46103.0</v>
      </c>
      <c r="B73" s="12" t="str">
        <f t="shared" si="1"/>
        <v>March</v>
      </c>
      <c r="C73" s="11" t="s">
        <v>45</v>
      </c>
      <c r="D73" s="11">
        <v>-50.0</v>
      </c>
      <c r="E73" s="12" t="s">
        <v>40</v>
      </c>
      <c r="F73" s="1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4">
        <v>46103.0</v>
      </c>
      <c r="B74" s="12" t="str">
        <f t="shared" si="1"/>
        <v>March</v>
      </c>
      <c r="C74" s="11" t="s">
        <v>46</v>
      </c>
      <c r="D74" s="11">
        <v>-5.0</v>
      </c>
      <c r="E74" s="12" t="s">
        <v>25</v>
      </c>
      <c r="F74" s="1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4">
        <v>46103.0</v>
      </c>
      <c r="B75" s="12" t="str">
        <f t="shared" si="1"/>
        <v>March</v>
      </c>
      <c r="C75" s="11" t="s">
        <v>47</v>
      </c>
      <c r="D75" s="11">
        <v>-10.0</v>
      </c>
      <c r="E75" s="12" t="s">
        <v>28</v>
      </c>
      <c r="F75" s="1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4">
        <v>46103.0</v>
      </c>
      <c r="B76" s="12" t="str">
        <f t="shared" si="1"/>
        <v>March</v>
      </c>
      <c r="C76" s="11" t="s">
        <v>39</v>
      </c>
      <c r="D76" s="11">
        <v>-15.0</v>
      </c>
      <c r="E76" s="12" t="s">
        <v>40</v>
      </c>
      <c r="F76" s="1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4">
        <v>46103.0</v>
      </c>
      <c r="B77" s="12" t="str">
        <f t="shared" si="1"/>
        <v>March</v>
      </c>
      <c r="C77" s="11" t="s">
        <v>48</v>
      </c>
      <c r="D77" s="11">
        <v>-215.0</v>
      </c>
      <c r="E77" s="12" t="s">
        <v>40</v>
      </c>
      <c r="F77" s="1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4">
        <v>46104.0</v>
      </c>
      <c r="B78" s="12" t="str">
        <f t="shared" si="1"/>
        <v>March</v>
      </c>
      <c r="C78" s="11" t="s">
        <v>49</v>
      </c>
      <c r="D78" s="11">
        <v>-15.0</v>
      </c>
      <c r="E78" s="12" t="s">
        <v>28</v>
      </c>
      <c r="F78" s="1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4">
        <v>46131.0</v>
      </c>
      <c r="B79" s="12" t="str">
        <f t="shared" si="1"/>
        <v>April</v>
      </c>
      <c r="C79" s="11" t="s">
        <v>50</v>
      </c>
      <c r="D79" s="11">
        <v>-500.0</v>
      </c>
      <c r="E79" s="12" t="s">
        <v>25</v>
      </c>
      <c r="F79" s="1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5"/>
      <c r="B80" s="12" t="str">
        <f t="shared" si="1"/>
        <v/>
      </c>
      <c r="C80" s="11"/>
      <c r="D80" s="11"/>
      <c r="E80" s="12"/>
      <c r="F80" s="1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12"/>
      <c r="B81" s="12" t="str">
        <f t="shared" si="1"/>
        <v/>
      </c>
      <c r="C81" s="11"/>
      <c r="D81" s="11"/>
      <c r="E81" s="12"/>
      <c r="F81" s="1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12"/>
      <c r="B82" s="12" t="str">
        <f t="shared" si="1"/>
        <v/>
      </c>
      <c r="C82" s="11"/>
      <c r="D82" s="11"/>
      <c r="E82" s="12"/>
      <c r="F82" s="1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12"/>
      <c r="B83" s="12" t="str">
        <f t="shared" si="1"/>
        <v/>
      </c>
      <c r="C83" s="11"/>
      <c r="D83" s="11"/>
      <c r="E83" s="12"/>
      <c r="F83" s="1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12"/>
      <c r="B84" s="12" t="str">
        <f t="shared" si="1"/>
        <v/>
      </c>
      <c r="C84" s="11"/>
      <c r="D84" s="11"/>
      <c r="E84" s="12"/>
      <c r="F84" s="1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12"/>
      <c r="B85" s="12" t="str">
        <f t="shared" si="1"/>
        <v/>
      </c>
      <c r="C85" s="11"/>
      <c r="D85" s="11"/>
      <c r="E85" s="12"/>
      <c r="F85" s="1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12"/>
      <c r="B86" s="12" t="str">
        <f t="shared" si="1"/>
        <v/>
      </c>
      <c r="C86" s="11"/>
      <c r="D86" s="11"/>
      <c r="E86" s="12"/>
      <c r="F86" s="1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12"/>
      <c r="B87" s="12" t="str">
        <f t="shared" si="1"/>
        <v/>
      </c>
      <c r="C87" s="11"/>
      <c r="D87" s="11"/>
      <c r="E87" s="12"/>
      <c r="F87" s="1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12"/>
      <c r="B88" s="12" t="str">
        <f t="shared" si="1"/>
        <v/>
      </c>
      <c r="C88" s="11"/>
      <c r="D88" s="11"/>
      <c r="E88" s="12"/>
      <c r="F88" s="1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12"/>
      <c r="B89" s="12" t="str">
        <f t="shared" si="1"/>
        <v/>
      </c>
      <c r="C89" s="11"/>
      <c r="D89" s="11"/>
      <c r="E89" s="12"/>
      <c r="F89" s="1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2"/>
      <c r="B90" s="12" t="str">
        <f t="shared" si="1"/>
        <v/>
      </c>
      <c r="C90" s="11"/>
      <c r="D90" s="11"/>
      <c r="E90" s="12"/>
      <c r="F90" s="1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2"/>
      <c r="B91" s="12" t="str">
        <f t="shared" si="1"/>
        <v/>
      </c>
      <c r="C91" s="11"/>
      <c r="D91" s="11"/>
      <c r="E91" s="12"/>
      <c r="F91" s="1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12"/>
      <c r="B92" s="12" t="str">
        <f t="shared" si="1"/>
        <v/>
      </c>
      <c r="C92" s="11"/>
      <c r="D92" s="11"/>
      <c r="E92" s="12"/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2"/>
      <c r="B93" s="12" t="str">
        <f t="shared" si="1"/>
        <v/>
      </c>
      <c r="C93" s="11"/>
      <c r="D93" s="11"/>
      <c r="E93" s="12"/>
      <c r="F93" s="1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2"/>
      <c r="B94" s="12" t="str">
        <f t="shared" si="1"/>
        <v/>
      </c>
      <c r="C94" s="11"/>
      <c r="D94" s="11"/>
      <c r="E94" s="12"/>
      <c r="F94" s="1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12"/>
      <c r="B95" s="12" t="str">
        <f t="shared" si="1"/>
        <v/>
      </c>
      <c r="C95" s="11"/>
      <c r="D95" s="11"/>
      <c r="E95" s="12"/>
      <c r="F95" s="1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2"/>
      <c r="B96" s="12" t="str">
        <f t="shared" si="1"/>
        <v/>
      </c>
      <c r="C96" s="11"/>
      <c r="D96" s="11"/>
      <c r="E96" s="12"/>
      <c r="F96" s="1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2"/>
      <c r="B97" s="12" t="str">
        <f t="shared" si="1"/>
        <v/>
      </c>
      <c r="C97" s="11"/>
      <c r="D97" s="11"/>
      <c r="E97" s="12"/>
      <c r="F97" s="1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12"/>
      <c r="B98" s="12" t="str">
        <f t="shared" si="1"/>
        <v/>
      </c>
      <c r="C98" s="11"/>
      <c r="D98" s="11"/>
      <c r="E98" s="12"/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12"/>
      <c r="B99" s="12" t="str">
        <f t="shared" si="1"/>
        <v/>
      </c>
      <c r="C99" s="11"/>
      <c r="D99" s="11"/>
      <c r="E99" s="12"/>
      <c r="F99" s="1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2"/>
      <c r="B100" s="12" t="str">
        <f t="shared" si="1"/>
        <v/>
      </c>
      <c r="C100" s="11"/>
      <c r="D100" s="11"/>
      <c r="E100" s="12"/>
      <c r="F100" s="1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12"/>
      <c r="B101" s="12" t="str">
        <f t="shared" si="1"/>
        <v/>
      </c>
      <c r="C101" s="11"/>
      <c r="D101" s="11"/>
      <c r="E101" s="12"/>
      <c r="F101" s="1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12"/>
      <c r="B102" s="12" t="str">
        <f t="shared" si="1"/>
        <v/>
      </c>
      <c r="C102" s="11"/>
      <c r="D102" s="11"/>
      <c r="E102" s="12"/>
      <c r="F102" s="1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2"/>
      <c r="B103" s="12" t="str">
        <f t="shared" si="1"/>
        <v/>
      </c>
      <c r="C103" s="11"/>
      <c r="D103" s="11"/>
      <c r="E103" s="12"/>
      <c r="F103" s="1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12"/>
      <c r="B104" s="12" t="str">
        <f t="shared" si="1"/>
        <v/>
      </c>
      <c r="C104" s="11"/>
      <c r="D104" s="11"/>
      <c r="E104" s="12"/>
      <c r="F104" s="1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2"/>
      <c r="B105" s="12" t="str">
        <f t="shared" si="1"/>
        <v/>
      </c>
      <c r="C105" s="11"/>
      <c r="D105" s="11"/>
      <c r="E105" s="12"/>
      <c r="F105" s="1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2"/>
      <c r="B106" s="12" t="str">
        <f t="shared" si="1"/>
        <v/>
      </c>
      <c r="C106" s="11"/>
      <c r="D106" s="11"/>
      <c r="E106" s="12"/>
      <c r="F106" s="1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12"/>
      <c r="B107" s="12" t="str">
        <f t="shared" si="1"/>
        <v/>
      </c>
      <c r="C107" s="11"/>
      <c r="D107" s="11"/>
      <c r="E107" s="12"/>
      <c r="F107" s="1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2"/>
      <c r="B108" s="12" t="str">
        <f t="shared" si="1"/>
        <v/>
      </c>
      <c r="C108" s="11"/>
      <c r="D108" s="11"/>
      <c r="E108" s="12"/>
      <c r="F108" s="1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2"/>
      <c r="B109" s="12" t="str">
        <f t="shared" si="1"/>
        <v/>
      </c>
      <c r="C109" s="11"/>
      <c r="D109" s="11"/>
      <c r="E109" s="12"/>
      <c r="F109" s="1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12"/>
      <c r="B110" s="12" t="str">
        <f t="shared" si="1"/>
        <v/>
      </c>
      <c r="C110" s="11"/>
      <c r="D110" s="11"/>
      <c r="E110" s="12"/>
      <c r="F110" s="1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2"/>
      <c r="B111" s="12" t="str">
        <f t="shared" si="1"/>
        <v/>
      </c>
      <c r="C111" s="11"/>
      <c r="D111" s="11"/>
      <c r="E111" s="12"/>
      <c r="F111" s="1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2"/>
      <c r="B112" s="12" t="str">
        <f t="shared" si="1"/>
        <v/>
      </c>
      <c r="C112" s="11"/>
      <c r="D112" s="11"/>
      <c r="E112" s="12"/>
      <c r="F112" s="1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12"/>
      <c r="B113" s="12" t="str">
        <f t="shared" si="1"/>
        <v/>
      </c>
      <c r="C113" s="11"/>
      <c r="D113" s="11"/>
      <c r="E113" s="12"/>
      <c r="F113" s="1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12"/>
      <c r="B114" s="12" t="str">
        <f t="shared" si="1"/>
        <v/>
      </c>
      <c r="C114" s="11"/>
      <c r="D114" s="11"/>
      <c r="E114" s="12"/>
      <c r="F114" s="1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2"/>
      <c r="B115" s="12" t="str">
        <f t="shared" si="1"/>
        <v/>
      </c>
      <c r="C115" s="11"/>
      <c r="D115" s="11"/>
      <c r="E115" s="12"/>
      <c r="F115" s="1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12"/>
      <c r="B116" s="12" t="str">
        <f t="shared" si="1"/>
        <v/>
      </c>
      <c r="C116" s="11"/>
      <c r="D116" s="11"/>
      <c r="E116" s="12"/>
      <c r="F116" s="1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2"/>
      <c r="B117" s="12" t="str">
        <f t="shared" si="1"/>
        <v/>
      </c>
      <c r="C117" s="11"/>
      <c r="D117" s="11"/>
      <c r="E117" s="12"/>
      <c r="F117" s="1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2"/>
      <c r="B118" s="12" t="str">
        <f t="shared" si="1"/>
        <v/>
      </c>
      <c r="C118" s="11"/>
      <c r="D118" s="11"/>
      <c r="E118" s="12"/>
      <c r="F118" s="1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12"/>
      <c r="B119" s="12" t="str">
        <f t="shared" si="1"/>
        <v/>
      </c>
      <c r="C119" s="11"/>
      <c r="D119" s="11"/>
      <c r="E119" s="12"/>
      <c r="F119" s="1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2"/>
      <c r="B120" s="12" t="str">
        <f t="shared" si="1"/>
        <v/>
      </c>
      <c r="C120" s="11"/>
      <c r="D120" s="11"/>
      <c r="E120" s="12"/>
      <c r="F120" s="1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2"/>
      <c r="B121" s="12" t="str">
        <f t="shared" si="1"/>
        <v/>
      </c>
      <c r="C121" s="11"/>
      <c r="D121" s="11"/>
      <c r="E121" s="12"/>
      <c r="F121" s="1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12"/>
      <c r="B122" s="12" t="str">
        <f t="shared" si="1"/>
        <v/>
      </c>
      <c r="C122" s="11"/>
      <c r="D122" s="11"/>
      <c r="E122" s="12"/>
      <c r="F122" s="1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2"/>
      <c r="B123" s="12" t="str">
        <f t="shared" si="1"/>
        <v/>
      </c>
      <c r="C123" s="11"/>
      <c r="D123" s="11"/>
      <c r="E123" s="12"/>
      <c r="F123" s="1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2"/>
      <c r="B124" s="12" t="str">
        <f t="shared" si="1"/>
        <v/>
      </c>
      <c r="C124" s="11"/>
      <c r="D124" s="11"/>
      <c r="E124" s="12"/>
      <c r="F124" s="1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12"/>
      <c r="B125" s="12" t="str">
        <f t="shared" si="1"/>
        <v/>
      </c>
      <c r="C125" s="11"/>
      <c r="D125" s="11"/>
      <c r="E125" s="12"/>
      <c r="F125" s="1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2"/>
      <c r="B126" s="12" t="str">
        <f t="shared" si="1"/>
        <v/>
      </c>
      <c r="C126" s="11"/>
      <c r="D126" s="11"/>
      <c r="E126" s="12"/>
      <c r="F126" s="1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2"/>
      <c r="B127" s="12" t="str">
        <f t="shared" si="1"/>
        <v/>
      </c>
      <c r="C127" s="11"/>
      <c r="D127" s="11"/>
      <c r="E127" s="12"/>
      <c r="F127" s="1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12"/>
      <c r="B128" s="12" t="str">
        <f t="shared" si="1"/>
        <v/>
      </c>
      <c r="C128" s="11"/>
      <c r="D128" s="11"/>
      <c r="E128" s="12"/>
      <c r="F128" s="1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2"/>
      <c r="B129" s="12" t="str">
        <f t="shared" si="1"/>
        <v/>
      </c>
      <c r="C129" s="11"/>
      <c r="D129" s="11"/>
      <c r="E129" s="12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2"/>
      <c r="B130" s="12" t="str">
        <f t="shared" si="1"/>
        <v/>
      </c>
      <c r="C130" s="11"/>
      <c r="D130" s="11"/>
      <c r="E130" s="12"/>
      <c r="F130" s="1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12"/>
      <c r="B131" s="12" t="str">
        <f t="shared" si="1"/>
        <v/>
      </c>
      <c r="C131" s="11"/>
      <c r="D131" s="11"/>
      <c r="E131" s="12"/>
      <c r="F131" s="1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2"/>
      <c r="B132" s="12" t="str">
        <f t="shared" si="1"/>
        <v/>
      </c>
      <c r="C132" s="11"/>
      <c r="D132" s="11"/>
      <c r="E132" s="12"/>
      <c r="F132" s="1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2"/>
      <c r="B133" s="12" t="str">
        <f t="shared" si="1"/>
        <v/>
      </c>
      <c r="C133" s="11"/>
      <c r="D133" s="11"/>
      <c r="E133" s="12"/>
      <c r="F133" s="1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12"/>
      <c r="B134" s="12" t="str">
        <f t="shared" si="1"/>
        <v/>
      </c>
      <c r="C134" s="11"/>
      <c r="D134" s="11"/>
      <c r="E134" s="12"/>
      <c r="F134" s="1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12"/>
      <c r="B135" s="12" t="str">
        <f t="shared" si="1"/>
        <v/>
      </c>
      <c r="C135" s="11"/>
      <c r="D135" s="11"/>
      <c r="E135" s="12"/>
      <c r="F135" s="1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2"/>
      <c r="B136" s="12" t="str">
        <f t="shared" si="1"/>
        <v/>
      </c>
      <c r="C136" s="11"/>
      <c r="D136" s="11"/>
      <c r="E136" s="12"/>
      <c r="F136" s="1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12"/>
      <c r="B137" s="12" t="str">
        <f t="shared" si="1"/>
        <v/>
      </c>
      <c r="C137" s="11"/>
      <c r="D137" s="11"/>
      <c r="E137" s="12"/>
      <c r="F137" s="1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12"/>
      <c r="B138" s="12" t="str">
        <f t="shared" si="1"/>
        <v/>
      </c>
      <c r="C138" s="11"/>
      <c r="D138" s="11"/>
      <c r="E138" s="12"/>
      <c r="F138" s="1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2"/>
      <c r="B139" s="12" t="str">
        <f t="shared" si="1"/>
        <v/>
      </c>
      <c r="C139" s="11"/>
      <c r="D139" s="11"/>
      <c r="E139" s="12"/>
      <c r="F139" s="1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12"/>
      <c r="B140" s="12" t="str">
        <f t="shared" si="1"/>
        <v/>
      </c>
      <c r="C140" s="11"/>
      <c r="D140" s="11"/>
      <c r="E140" s="12"/>
      <c r="F140" s="1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12"/>
      <c r="B141" s="12" t="str">
        <f t="shared" si="1"/>
        <v/>
      </c>
      <c r="C141" s="11"/>
      <c r="D141" s="11"/>
      <c r="E141" s="12"/>
      <c r="F141" s="1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2"/>
      <c r="B142" s="12" t="str">
        <f t="shared" si="1"/>
        <v/>
      </c>
      <c r="C142" s="11"/>
      <c r="D142" s="11"/>
      <c r="E142" s="12"/>
      <c r="F142" s="1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12"/>
      <c r="B143" s="12" t="str">
        <f t="shared" si="1"/>
        <v/>
      </c>
      <c r="C143" s="11"/>
      <c r="D143" s="11"/>
      <c r="E143" s="12"/>
      <c r="F143" s="1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12"/>
      <c r="B144" s="12" t="str">
        <f t="shared" si="1"/>
        <v/>
      </c>
      <c r="C144" s="11"/>
      <c r="D144" s="11"/>
      <c r="E144" s="12"/>
      <c r="F144" s="1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2"/>
      <c r="B145" s="12" t="str">
        <f t="shared" si="1"/>
        <v/>
      </c>
      <c r="C145" s="11"/>
      <c r="D145" s="11"/>
      <c r="E145" s="12"/>
      <c r="F145" s="1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12"/>
      <c r="B146" s="12" t="str">
        <f t="shared" si="1"/>
        <v/>
      </c>
      <c r="C146" s="11"/>
      <c r="D146" s="11"/>
      <c r="E146" s="12"/>
      <c r="F146" s="1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12"/>
      <c r="B147" s="12" t="str">
        <f t="shared" si="1"/>
        <v/>
      </c>
      <c r="C147" s="11"/>
      <c r="D147" s="11"/>
      <c r="E147" s="12"/>
      <c r="F147" s="1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2"/>
      <c r="B148" s="12" t="str">
        <f t="shared" si="1"/>
        <v/>
      </c>
      <c r="C148" s="11"/>
      <c r="D148" s="11"/>
      <c r="E148" s="12"/>
      <c r="F148" s="1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12"/>
      <c r="B149" s="12" t="str">
        <f t="shared" si="1"/>
        <v/>
      </c>
      <c r="C149" s="11"/>
      <c r="D149" s="11"/>
      <c r="E149" s="12"/>
      <c r="F149" s="1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2"/>
      <c r="B150" s="12" t="str">
        <f t="shared" si="1"/>
        <v/>
      </c>
      <c r="C150" s="11"/>
      <c r="D150" s="11"/>
      <c r="E150" s="12"/>
      <c r="F150" s="1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2"/>
      <c r="B151" s="12" t="str">
        <f t="shared" si="1"/>
        <v/>
      </c>
      <c r="C151" s="11"/>
      <c r="D151" s="11"/>
      <c r="E151" s="12"/>
      <c r="F151" s="1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12"/>
      <c r="B152" s="12" t="str">
        <f t="shared" si="1"/>
        <v/>
      </c>
      <c r="C152" s="11"/>
      <c r="D152" s="11"/>
      <c r="E152" s="12"/>
      <c r="F152" s="1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12"/>
      <c r="B153" s="12" t="str">
        <f t="shared" si="1"/>
        <v/>
      </c>
      <c r="C153" s="11"/>
      <c r="D153" s="11"/>
      <c r="E153" s="12"/>
      <c r="F153" s="1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2"/>
      <c r="B154" s="12" t="str">
        <f t="shared" si="1"/>
        <v/>
      </c>
      <c r="C154" s="11"/>
      <c r="D154" s="11"/>
      <c r="E154" s="12"/>
      <c r="F154" s="1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12"/>
      <c r="B155" s="12" t="str">
        <f t="shared" si="1"/>
        <v/>
      </c>
      <c r="C155" s="11"/>
      <c r="D155" s="11"/>
      <c r="E155" s="12"/>
      <c r="F155" s="1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12"/>
      <c r="B156" s="12" t="str">
        <f t="shared" si="1"/>
        <v/>
      </c>
      <c r="C156" s="11"/>
      <c r="D156" s="11"/>
      <c r="E156" s="12"/>
      <c r="F156" s="1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2"/>
      <c r="B157" s="12" t="str">
        <f t="shared" si="1"/>
        <v/>
      </c>
      <c r="C157" s="11"/>
      <c r="D157" s="11"/>
      <c r="E157" s="12"/>
      <c r="F157" s="1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12"/>
      <c r="B158" s="12" t="str">
        <f t="shared" si="1"/>
        <v/>
      </c>
      <c r="C158" s="11"/>
      <c r="D158" s="11"/>
      <c r="E158" s="12"/>
      <c r="F158" s="1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2"/>
      <c r="B159" s="12" t="str">
        <f t="shared" si="1"/>
        <v/>
      </c>
      <c r="C159" s="11"/>
      <c r="D159" s="11"/>
      <c r="E159" s="12"/>
      <c r="F159" s="1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2"/>
      <c r="B160" s="12" t="str">
        <f t="shared" si="1"/>
        <v/>
      </c>
      <c r="C160" s="11"/>
      <c r="D160" s="11"/>
      <c r="E160" s="12"/>
      <c r="F160" s="1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12"/>
      <c r="B161" s="12" t="str">
        <f t="shared" si="1"/>
        <v/>
      </c>
      <c r="C161" s="11"/>
      <c r="D161" s="11"/>
      <c r="E161" s="12"/>
      <c r="F161" s="1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2"/>
      <c r="B162" s="12" t="str">
        <f t="shared" si="1"/>
        <v/>
      </c>
      <c r="C162" s="11"/>
      <c r="D162" s="11"/>
      <c r="E162" s="12"/>
      <c r="F162" s="1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2"/>
      <c r="B163" s="12" t="str">
        <f t="shared" si="1"/>
        <v/>
      </c>
      <c r="C163" s="11"/>
      <c r="D163" s="11"/>
      <c r="E163" s="12"/>
      <c r="F163" s="1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12"/>
      <c r="B164" s="12" t="str">
        <f t="shared" si="1"/>
        <v/>
      </c>
      <c r="C164" s="11"/>
      <c r="D164" s="11"/>
      <c r="E164" s="12"/>
      <c r="F164" s="1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2"/>
      <c r="B165" s="12" t="str">
        <f t="shared" si="1"/>
        <v/>
      </c>
      <c r="C165" s="11"/>
      <c r="D165" s="11"/>
      <c r="E165" s="12"/>
      <c r="F165" s="1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2"/>
      <c r="B166" s="12" t="str">
        <f t="shared" si="1"/>
        <v/>
      </c>
      <c r="C166" s="11"/>
      <c r="D166" s="11"/>
      <c r="E166" s="12"/>
      <c r="F166" s="1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12"/>
      <c r="B167" s="12" t="str">
        <f t="shared" si="1"/>
        <v/>
      </c>
      <c r="C167" s="11"/>
      <c r="D167" s="11"/>
      <c r="E167" s="12"/>
      <c r="F167" s="1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2"/>
      <c r="B168" s="12" t="str">
        <f t="shared" si="1"/>
        <v/>
      </c>
      <c r="C168" s="11"/>
      <c r="D168" s="11"/>
      <c r="E168" s="12"/>
      <c r="F168" s="1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2"/>
      <c r="B169" s="12" t="str">
        <f t="shared" si="1"/>
        <v/>
      </c>
      <c r="C169" s="11"/>
      <c r="D169" s="11"/>
      <c r="E169" s="12"/>
      <c r="F169" s="1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12"/>
      <c r="B170" s="12" t="str">
        <f t="shared" si="1"/>
        <v/>
      </c>
      <c r="C170" s="11"/>
      <c r="D170" s="11"/>
      <c r="E170" s="12"/>
      <c r="F170" s="1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12"/>
      <c r="B171" s="12" t="str">
        <f t="shared" si="1"/>
        <v/>
      </c>
      <c r="C171" s="11"/>
      <c r="D171" s="11"/>
      <c r="E171" s="12"/>
      <c r="F171" s="1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12"/>
      <c r="B172" s="12" t="str">
        <f t="shared" si="1"/>
        <v/>
      </c>
      <c r="C172" s="11"/>
      <c r="D172" s="11"/>
      <c r="E172" s="12"/>
      <c r="F172" s="1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2"/>
      <c r="B173" s="12" t="str">
        <f t="shared" si="1"/>
        <v/>
      </c>
      <c r="C173" s="11"/>
      <c r="D173" s="11"/>
      <c r="E173" s="12"/>
      <c r="F173" s="1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2"/>
      <c r="B174" s="12" t="str">
        <f t="shared" si="1"/>
        <v/>
      </c>
      <c r="C174" s="11"/>
      <c r="D174" s="11"/>
      <c r="E174" s="12"/>
      <c r="F174" s="1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12"/>
      <c r="B175" s="12" t="str">
        <f t="shared" si="1"/>
        <v/>
      </c>
      <c r="C175" s="11"/>
      <c r="D175" s="11"/>
      <c r="E175" s="12"/>
      <c r="F175" s="1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2"/>
      <c r="B176" s="12" t="str">
        <f t="shared" si="1"/>
        <v/>
      </c>
      <c r="C176" s="11"/>
      <c r="D176" s="11"/>
      <c r="E176" s="12"/>
      <c r="F176" s="1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2"/>
      <c r="B177" s="12" t="str">
        <f t="shared" si="1"/>
        <v/>
      </c>
      <c r="C177" s="11"/>
      <c r="D177" s="11"/>
      <c r="E177" s="12"/>
      <c r="F177" s="1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2"/>
      <c r="B178" s="12" t="str">
        <f t="shared" si="1"/>
        <v/>
      </c>
      <c r="C178" s="11"/>
      <c r="D178" s="11"/>
      <c r="E178" s="12"/>
      <c r="F178" s="1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2"/>
      <c r="B179" s="12" t="str">
        <f t="shared" si="1"/>
        <v/>
      </c>
      <c r="C179" s="11"/>
      <c r="D179" s="11"/>
      <c r="E179" s="12"/>
      <c r="F179" s="1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2"/>
      <c r="B180" s="12" t="str">
        <f t="shared" si="1"/>
        <v/>
      </c>
      <c r="C180" s="11"/>
      <c r="D180" s="11"/>
      <c r="E180" s="12"/>
      <c r="F180" s="1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2"/>
      <c r="B181" s="12" t="str">
        <f t="shared" si="1"/>
        <v/>
      </c>
      <c r="C181" s="12"/>
      <c r="D181" s="11"/>
      <c r="E181" s="12"/>
      <c r="F181" s="1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2"/>
      <c r="B182" s="12" t="str">
        <f t="shared" si="1"/>
        <v/>
      </c>
      <c r="C182" s="12"/>
      <c r="D182" s="11"/>
      <c r="E182" s="12"/>
      <c r="F182" s="1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2"/>
      <c r="B183" s="12" t="str">
        <f t="shared" si="1"/>
        <v/>
      </c>
      <c r="C183" s="12"/>
      <c r="D183" s="11"/>
      <c r="E183" s="12"/>
      <c r="F183" s="1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2"/>
      <c r="B184" s="12" t="str">
        <f t="shared" si="1"/>
        <v/>
      </c>
      <c r="C184" s="12"/>
      <c r="D184" s="11"/>
      <c r="E184" s="12"/>
      <c r="F184" s="1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2"/>
      <c r="B185" s="12" t="str">
        <f t="shared" si="1"/>
        <v/>
      </c>
      <c r="C185" s="12"/>
      <c r="D185" s="11"/>
      <c r="E185" s="12"/>
      <c r="F185" s="1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2"/>
      <c r="B186" s="12" t="str">
        <f t="shared" si="1"/>
        <v/>
      </c>
      <c r="C186" s="12"/>
      <c r="D186" s="11"/>
      <c r="E186" s="12"/>
      <c r="F186" s="1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2"/>
      <c r="B187" s="12" t="str">
        <f t="shared" si="1"/>
        <v/>
      </c>
      <c r="C187" s="12"/>
      <c r="D187" s="11"/>
      <c r="E187" s="12"/>
      <c r="F187" s="1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12"/>
      <c r="B188" s="12" t="str">
        <f t="shared" si="1"/>
        <v/>
      </c>
      <c r="C188" s="12"/>
      <c r="D188" s="11"/>
      <c r="E188" s="12"/>
      <c r="F188" s="1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2"/>
      <c r="B189" s="12" t="str">
        <f t="shared" si="1"/>
        <v/>
      </c>
      <c r="C189" s="12"/>
      <c r="D189" s="11"/>
      <c r="E189" s="12"/>
      <c r="F189" s="1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2"/>
      <c r="B190" s="12" t="str">
        <f t="shared" si="1"/>
        <v/>
      </c>
      <c r="C190" s="12"/>
      <c r="D190" s="11"/>
      <c r="E190" s="12"/>
      <c r="F190" s="1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2"/>
      <c r="B191" s="12" t="str">
        <f t="shared" si="1"/>
        <v/>
      </c>
      <c r="C191" s="12"/>
      <c r="D191" s="11"/>
      <c r="E191" s="12"/>
      <c r="F191" s="1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2"/>
      <c r="B192" s="12" t="str">
        <f t="shared" si="1"/>
        <v/>
      </c>
      <c r="C192" s="12"/>
      <c r="D192" s="11"/>
      <c r="E192" s="12"/>
      <c r="F192" s="1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2"/>
      <c r="B193" s="12" t="str">
        <f t="shared" si="1"/>
        <v/>
      </c>
      <c r="C193" s="12"/>
      <c r="D193" s="11"/>
      <c r="E193" s="12"/>
      <c r="F193" s="1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12"/>
      <c r="B194" s="12" t="str">
        <f t="shared" si="1"/>
        <v/>
      </c>
      <c r="C194" s="12"/>
      <c r="D194" s="11"/>
      <c r="E194" s="12"/>
      <c r="F194" s="1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2"/>
      <c r="B195" s="12" t="str">
        <f t="shared" si="1"/>
        <v/>
      </c>
      <c r="C195" s="12"/>
      <c r="D195" s="11"/>
      <c r="E195" s="12"/>
      <c r="F195" s="1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2"/>
      <c r="B196" s="12" t="str">
        <f t="shared" si="1"/>
        <v/>
      </c>
      <c r="C196" s="12"/>
      <c r="D196" s="11"/>
      <c r="E196" s="12"/>
      <c r="F196" s="1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2"/>
      <c r="B197" s="12" t="str">
        <f t="shared" si="1"/>
        <v/>
      </c>
      <c r="C197" s="12"/>
      <c r="D197" s="11"/>
      <c r="E197" s="12"/>
      <c r="F197" s="1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2"/>
      <c r="B198" s="12" t="str">
        <f t="shared" si="1"/>
        <v/>
      </c>
      <c r="C198" s="12"/>
      <c r="D198" s="11"/>
      <c r="E198" s="12"/>
      <c r="F198" s="1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2"/>
      <c r="B199" s="12" t="str">
        <f t="shared" si="1"/>
        <v/>
      </c>
      <c r="C199" s="12"/>
      <c r="D199" s="11"/>
      <c r="E199" s="12"/>
      <c r="F199" s="1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12"/>
      <c r="B200" s="12" t="str">
        <f t="shared" si="1"/>
        <v/>
      </c>
      <c r="C200" s="12"/>
      <c r="D200" s="11"/>
      <c r="E200" s="12"/>
      <c r="F200" s="1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2"/>
      <c r="B201" s="12" t="str">
        <f t="shared" si="1"/>
        <v/>
      </c>
      <c r="C201" s="12"/>
      <c r="D201" s="11"/>
      <c r="E201" s="12"/>
      <c r="F201" s="1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2"/>
      <c r="B202" s="12" t="str">
        <f t="shared" si="1"/>
        <v/>
      </c>
      <c r="C202" s="12"/>
      <c r="D202" s="11"/>
      <c r="E202" s="12"/>
      <c r="F202" s="1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2"/>
      <c r="B203" s="12" t="str">
        <f t="shared" si="1"/>
        <v/>
      </c>
      <c r="C203" s="12"/>
      <c r="D203" s="11"/>
      <c r="E203" s="12"/>
      <c r="F203" s="1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2"/>
      <c r="B204" s="12" t="str">
        <f t="shared" si="1"/>
        <v/>
      </c>
      <c r="C204" s="12"/>
      <c r="D204" s="11"/>
      <c r="E204" s="12"/>
      <c r="F204" s="1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2"/>
      <c r="B205" s="12" t="str">
        <f t="shared" si="1"/>
        <v/>
      </c>
      <c r="C205" s="12"/>
      <c r="D205" s="11"/>
      <c r="E205" s="12"/>
      <c r="F205" s="1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2"/>
      <c r="B206" s="12" t="str">
        <f t="shared" si="1"/>
        <v/>
      </c>
      <c r="C206" s="12"/>
      <c r="D206" s="11"/>
      <c r="E206" s="12"/>
      <c r="F206" s="1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2"/>
      <c r="B207" s="12" t="str">
        <f t="shared" si="1"/>
        <v/>
      </c>
      <c r="C207" s="12"/>
      <c r="D207" s="11"/>
      <c r="E207" s="12"/>
      <c r="F207" s="1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2"/>
      <c r="B208" s="12" t="str">
        <f t="shared" si="1"/>
        <v/>
      </c>
      <c r="C208" s="12"/>
      <c r="D208" s="11"/>
      <c r="E208" s="12"/>
      <c r="F208" s="1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2"/>
      <c r="B209" s="12" t="str">
        <f t="shared" si="1"/>
        <v/>
      </c>
      <c r="C209" s="12"/>
      <c r="D209" s="11"/>
      <c r="E209" s="12"/>
      <c r="F209" s="1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2"/>
      <c r="B210" s="12" t="str">
        <f t="shared" si="1"/>
        <v/>
      </c>
      <c r="C210" s="12"/>
      <c r="D210" s="11"/>
      <c r="E210" s="12"/>
      <c r="F210" s="1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2"/>
      <c r="B211" s="12" t="str">
        <f t="shared" si="1"/>
        <v/>
      </c>
      <c r="C211" s="12"/>
      <c r="D211" s="11"/>
      <c r="E211" s="12"/>
      <c r="F211" s="1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2"/>
      <c r="B212" s="12" t="str">
        <f t="shared" si="1"/>
        <v/>
      </c>
      <c r="C212" s="12"/>
      <c r="D212" s="11"/>
      <c r="E212" s="12"/>
      <c r="F212" s="1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12"/>
      <c r="B213" s="12" t="str">
        <f t="shared" si="1"/>
        <v/>
      </c>
      <c r="C213" s="12"/>
      <c r="D213" s="11"/>
      <c r="E213" s="12"/>
      <c r="F213" s="1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2"/>
      <c r="B214" s="12" t="str">
        <f t="shared" si="1"/>
        <v/>
      </c>
      <c r="C214" s="12"/>
      <c r="D214" s="11"/>
      <c r="E214" s="12"/>
      <c r="F214" s="1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2"/>
      <c r="B215" s="12" t="str">
        <f t="shared" si="1"/>
        <v/>
      </c>
      <c r="C215" s="12"/>
      <c r="D215" s="11"/>
      <c r="E215" s="12"/>
      <c r="F215" s="1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12"/>
      <c r="B216" s="12" t="str">
        <f t="shared" si="1"/>
        <v/>
      </c>
      <c r="C216" s="12"/>
      <c r="D216" s="11"/>
      <c r="E216" s="12"/>
      <c r="F216" s="1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2"/>
      <c r="B217" s="12" t="str">
        <f t="shared" si="1"/>
        <v/>
      </c>
      <c r="C217" s="12"/>
      <c r="D217" s="11"/>
      <c r="E217" s="12"/>
      <c r="F217" s="1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2"/>
      <c r="B218" s="12" t="str">
        <f t="shared" si="1"/>
        <v/>
      </c>
      <c r="C218" s="12"/>
      <c r="D218" s="11"/>
      <c r="E218" s="12"/>
      <c r="F218" s="1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2"/>
      <c r="B219" s="12" t="str">
        <f t="shared" si="1"/>
        <v/>
      </c>
      <c r="C219" s="12"/>
      <c r="D219" s="11"/>
      <c r="E219" s="12"/>
      <c r="F219" s="1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2"/>
      <c r="B220" s="12" t="str">
        <f t="shared" si="1"/>
        <v/>
      </c>
      <c r="C220" s="12"/>
      <c r="D220" s="11"/>
      <c r="E220" s="12"/>
      <c r="F220" s="1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2"/>
      <c r="B221" s="12" t="str">
        <f t="shared" si="1"/>
        <v/>
      </c>
      <c r="C221" s="12"/>
      <c r="D221" s="11"/>
      <c r="E221" s="12"/>
      <c r="F221" s="1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2"/>
      <c r="B222" s="12" t="str">
        <f t="shared" si="1"/>
        <v/>
      </c>
      <c r="C222" s="12"/>
      <c r="D222" s="11"/>
      <c r="E222" s="12"/>
      <c r="F222" s="1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2"/>
      <c r="B223" s="12" t="str">
        <f t="shared" si="1"/>
        <v/>
      </c>
      <c r="C223" s="12"/>
      <c r="D223" s="11"/>
      <c r="E223" s="12"/>
      <c r="F223" s="1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2"/>
      <c r="B224" s="12" t="str">
        <f t="shared" si="1"/>
        <v/>
      </c>
      <c r="C224" s="12"/>
      <c r="D224" s="11"/>
      <c r="E224" s="12"/>
      <c r="F224" s="1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2"/>
      <c r="B225" s="12" t="str">
        <f t="shared" si="1"/>
        <v/>
      </c>
      <c r="C225" s="12"/>
      <c r="D225" s="11"/>
      <c r="E225" s="12"/>
      <c r="F225" s="1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2"/>
      <c r="B226" s="12" t="str">
        <f t="shared" si="1"/>
        <v/>
      </c>
      <c r="C226" s="12"/>
      <c r="D226" s="11"/>
      <c r="E226" s="12"/>
      <c r="F226" s="1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2"/>
      <c r="B227" s="12" t="str">
        <f t="shared" si="1"/>
        <v/>
      </c>
      <c r="C227" s="12"/>
      <c r="D227" s="11"/>
      <c r="E227" s="12"/>
      <c r="F227" s="1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12"/>
      <c r="B228" s="12" t="str">
        <f t="shared" si="1"/>
        <v/>
      </c>
      <c r="C228" s="12"/>
      <c r="D228" s="11"/>
      <c r="E228" s="12"/>
      <c r="F228" s="1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2"/>
      <c r="B229" s="12" t="str">
        <f t="shared" si="1"/>
        <v/>
      </c>
      <c r="C229" s="12"/>
      <c r="D229" s="11"/>
      <c r="E229" s="12"/>
      <c r="F229" s="1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2"/>
      <c r="B230" s="12" t="str">
        <f t="shared" si="1"/>
        <v/>
      </c>
      <c r="C230" s="12"/>
      <c r="D230" s="11"/>
      <c r="E230" s="12"/>
      <c r="F230" s="1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2"/>
      <c r="B231" s="12" t="str">
        <f t="shared" si="1"/>
        <v/>
      </c>
      <c r="C231" s="12"/>
      <c r="D231" s="11"/>
      <c r="E231" s="12"/>
      <c r="F231" s="1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2"/>
      <c r="B232" s="12" t="str">
        <f t="shared" si="1"/>
        <v/>
      </c>
      <c r="C232" s="12"/>
      <c r="D232" s="11"/>
      <c r="E232" s="12"/>
      <c r="F232" s="1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2"/>
      <c r="B233" s="12" t="str">
        <f t="shared" si="1"/>
        <v/>
      </c>
      <c r="C233" s="12"/>
      <c r="D233" s="11"/>
      <c r="E233" s="12"/>
      <c r="F233" s="1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2"/>
      <c r="B234" s="12" t="str">
        <f t="shared" si="1"/>
        <v/>
      </c>
      <c r="C234" s="12"/>
      <c r="D234" s="11"/>
      <c r="E234" s="12"/>
      <c r="F234" s="1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2"/>
      <c r="B235" s="12" t="str">
        <f t="shared" si="1"/>
        <v/>
      </c>
      <c r="C235" s="12"/>
      <c r="D235" s="11"/>
      <c r="E235" s="12"/>
      <c r="F235" s="1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2"/>
      <c r="B236" s="12" t="str">
        <f t="shared" si="1"/>
        <v/>
      </c>
      <c r="C236" s="12"/>
      <c r="D236" s="11"/>
      <c r="E236" s="12"/>
      <c r="F236" s="1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2"/>
      <c r="B237" s="12" t="str">
        <f t="shared" si="1"/>
        <v/>
      </c>
      <c r="C237" s="12"/>
      <c r="D237" s="11"/>
      <c r="E237" s="12"/>
      <c r="F237" s="1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2"/>
      <c r="B238" s="12" t="str">
        <f t="shared" si="1"/>
        <v/>
      </c>
      <c r="C238" s="12"/>
      <c r="D238" s="11"/>
      <c r="E238" s="12"/>
      <c r="F238" s="1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2"/>
      <c r="B239" s="12" t="str">
        <f t="shared" si="1"/>
        <v/>
      </c>
      <c r="C239" s="12"/>
      <c r="D239" s="11"/>
      <c r="E239" s="12"/>
      <c r="F239" s="1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2"/>
      <c r="B240" s="12" t="str">
        <f t="shared" si="1"/>
        <v/>
      </c>
      <c r="C240" s="12"/>
      <c r="D240" s="11"/>
      <c r="E240" s="12"/>
      <c r="F240" s="1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12"/>
      <c r="B241" s="12" t="str">
        <f t="shared" si="1"/>
        <v/>
      </c>
      <c r="C241" s="12"/>
      <c r="D241" s="11"/>
      <c r="E241" s="12"/>
      <c r="F241" s="1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12"/>
      <c r="B242" s="12" t="str">
        <f t="shared" si="1"/>
        <v/>
      </c>
      <c r="C242" s="12"/>
      <c r="D242" s="11"/>
      <c r="E242" s="12"/>
      <c r="F242" s="1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2"/>
      <c r="B243" s="12" t="str">
        <f t="shared" si="1"/>
        <v/>
      </c>
      <c r="C243" s="12"/>
      <c r="D243" s="11"/>
      <c r="E243" s="12"/>
      <c r="F243" s="1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2"/>
      <c r="B244" s="12" t="str">
        <f t="shared" si="1"/>
        <v/>
      </c>
      <c r="C244" s="12"/>
      <c r="D244" s="11"/>
      <c r="E244" s="12"/>
      <c r="F244" s="1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12"/>
      <c r="B245" s="12" t="str">
        <f t="shared" si="1"/>
        <v/>
      </c>
      <c r="C245" s="12"/>
      <c r="D245" s="11"/>
      <c r="E245" s="12"/>
      <c r="F245" s="1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2"/>
      <c r="B246" s="12" t="str">
        <f t="shared" si="1"/>
        <v/>
      </c>
      <c r="C246" s="12"/>
      <c r="D246" s="11"/>
      <c r="E246" s="12"/>
      <c r="F246" s="1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2"/>
      <c r="B247" s="12" t="str">
        <f t="shared" si="1"/>
        <v/>
      </c>
      <c r="C247" s="12"/>
      <c r="D247" s="11"/>
      <c r="E247" s="12"/>
      <c r="F247" s="1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12"/>
      <c r="B248" s="12" t="str">
        <f t="shared" si="1"/>
        <v/>
      </c>
      <c r="C248" s="12"/>
      <c r="D248" s="11"/>
      <c r="E248" s="12"/>
      <c r="F248" s="1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12"/>
      <c r="B249" s="12" t="str">
        <f t="shared" si="1"/>
        <v/>
      </c>
      <c r="C249" s="12"/>
      <c r="D249" s="11"/>
      <c r="E249" s="12"/>
      <c r="F249" s="1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2"/>
      <c r="B250" s="12" t="str">
        <f t="shared" si="1"/>
        <v/>
      </c>
      <c r="C250" s="12"/>
      <c r="D250" s="11"/>
      <c r="E250" s="12"/>
      <c r="F250" s="1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2"/>
      <c r="B251" s="12" t="str">
        <f t="shared" si="1"/>
        <v/>
      </c>
      <c r="C251" s="12"/>
      <c r="D251" s="11"/>
      <c r="E251" s="12"/>
      <c r="F251" s="1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12"/>
      <c r="B252" s="12" t="str">
        <f t="shared" si="1"/>
        <v/>
      </c>
      <c r="C252" s="12"/>
      <c r="D252" s="11"/>
      <c r="E252" s="12"/>
      <c r="F252" s="1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2"/>
      <c r="B253" s="12" t="str">
        <f t="shared" si="1"/>
        <v/>
      </c>
      <c r="C253" s="12"/>
      <c r="D253" s="11"/>
      <c r="E253" s="12"/>
      <c r="F253" s="1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2"/>
      <c r="B254" s="12" t="str">
        <f t="shared" si="1"/>
        <v/>
      </c>
      <c r="C254" s="12"/>
      <c r="D254" s="11"/>
      <c r="E254" s="12"/>
      <c r="F254" s="1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12"/>
      <c r="B255" s="12" t="str">
        <f t="shared" si="1"/>
        <v/>
      </c>
      <c r="C255" s="12"/>
      <c r="D255" s="11"/>
      <c r="E255" s="12"/>
      <c r="F255" s="1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12"/>
      <c r="B256" s="12" t="str">
        <f t="shared" si="1"/>
        <v/>
      </c>
      <c r="C256" s="12"/>
      <c r="D256" s="11"/>
      <c r="E256" s="12"/>
      <c r="F256" s="1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12"/>
      <c r="B257" s="12" t="str">
        <f t="shared" si="1"/>
        <v/>
      </c>
      <c r="C257" s="12"/>
      <c r="D257" s="11"/>
      <c r="E257" s="12"/>
      <c r="F257" s="1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12"/>
      <c r="B258" s="12" t="str">
        <f t="shared" si="1"/>
        <v/>
      </c>
      <c r="C258" s="12"/>
      <c r="D258" s="11"/>
      <c r="E258" s="12"/>
      <c r="F258" s="1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12"/>
      <c r="B259" s="12" t="str">
        <f t="shared" si="1"/>
        <v/>
      </c>
      <c r="C259" s="12"/>
      <c r="D259" s="11"/>
      <c r="E259" s="12"/>
      <c r="F259" s="1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12"/>
      <c r="B260" s="12" t="str">
        <f t="shared" si="1"/>
        <v/>
      </c>
      <c r="C260" s="12"/>
      <c r="D260" s="11"/>
      <c r="E260" s="12"/>
      <c r="F260" s="1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12"/>
      <c r="B261" s="12" t="str">
        <f t="shared" si="1"/>
        <v/>
      </c>
      <c r="C261" s="12"/>
      <c r="D261" s="11"/>
      <c r="E261" s="12"/>
      <c r="F261" s="1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12"/>
      <c r="B262" s="12" t="str">
        <f t="shared" si="1"/>
        <v/>
      </c>
      <c r="C262" s="12"/>
      <c r="D262" s="11"/>
      <c r="E262" s="12"/>
      <c r="F262" s="1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12"/>
      <c r="B263" s="12" t="str">
        <f t="shared" si="1"/>
        <v/>
      </c>
      <c r="C263" s="12"/>
      <c r="D263" s="11"/>
      <c r="E263" s="12"/>
      <c r="F263" s="1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12"/>
      <c r="B264" s="12" t="str">
        <f t="shared" si="1"/>
        <v/>
      </c>
      <c r="C264" s="12"/>
      <c r="D264" s="11"/>
      <c r="E264" s="12"/>
      <c r="F264" s="1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12"/>
      <c r="B265" s="12" t="str">
        <f t="shared" si="1"/>
        <v/>
      </c>
      <c r="C265" s="12"/>
      <c r="D265" s="11"/>
      <c r="E265" s="12"/>
      <c r="F265" s="1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12"/>
      <c r="B266" s="12" t="str">
        <f t="shared" si="1"/>
        <v/>
      </c>
      <c r="C266" s="12"/>
      <c r="D266" s="11"/>
      <c r="E266" s="12"/>
      <c r="F266" s="1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12"/>
      <c r="B267" s="12" t="str">
        <f t="shared" si="1"/>
        <v/>
      </c>
      <c r="C267" s="12"/>
      <c r="D267" s="11"/>
      <c r="E267" s="12"/>
      <c r="F267" s="1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12"/>
      <c r="B268" s="12" t="str">
        <f t="shared" si="1"/>
        <v/>
      </c>
      <c r="C268" s="12"/>
      <c r="D268" s="11"/>
      <c r="E268" s="12"/>
      <c r="F268" s="1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12"/>
      <c r="B269" s="12" t="str">
        <f t="shared" si="1"/>
        <v/>
      </c>
      <c r="C269" s="12"/>
      <c r="D269" s="11"/>
      <c r="E269" s="12"/>
      <c r="F269" s="1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12"/>
      <c r="B270" s="12" t="str">
        <f t="shared" si="1"/>
        <v/>
      </c>
      <c r="C270" s="12"/>
      <c r="D270" s="11"/>
      <c r="E270" s="12"/>
      <c r="F270" s="1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12"/>
      <c r="B271" s="12" t="str">
        <f t="shared" si="1"/>
        <v/>
      </c>
      <c r="C271" s="12"/>
      <c r="D271" s="11"/>
      <c r="E271" s="12"/>
      <c r="F271" s="1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12"/>
      <c r="B272" s="12" t="str">
        <f t="shared" si="1"/>
        <v/>
      </c>
      <c r="C272" s="12"/>
      <c r="D272" s="11"/>
      <c r="E272" s="12"/>
      <c r="F272" s="1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12"/>
      <c r="B273" s="12" t="str">
        <f t="shared" si="1"/>
        <v/>
      </c>
      <c r="C273" s="12"/>
      <c r="D273" s="11"/>
      <c r="E273" s="12"/>
      <c r="F273" s="1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12"/>
      <c r="B274" s="12" t="str">
        <f t="shared" si="1"/>
        <v/>
      </c>
      <c r="C274" s="12"/>
      <c r="D274" s="11"/>
      <c r="E274" s="12"/>
      <c r="F274" s="1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12"/>
      <c r="B275" s="12" t="str">
        <f t="shared" si="1"/>
        <v/>
      </c>
      <c r="C275" s="12"/>
      <c r="D275" s="11"/>
      <c r="E275" s="12"/>
      <c r="F275" s="1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12"/>
      <c r="B276" s="12" t="str">
        <f t="shared" si="1"/>
        <v/>
      </c>
      <c r="C276" s="12"/>
      <c r="D276" s="11"/>
      <c r="E276" s="12"/>
      <c r="F276" s="1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12"/>
      <c r="B277" s="12" t="str">
        <f t="shared" si="1"/>
        <v/>
      </c>
      <c r="C277" s="12"/>
      <c r="D277" s="11"/>
      <c r="E277" s="12"/>
      <c r="F277" s="1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12"/>
      <c r="B278" s="12" t="str">
        <f t="shared" si="1"/>
        <v/>
      </c>
      <c r="C278" s="12"/>
      <c r="D278" s="11"/>
      <c r="E278" s="12"/>
      <c r="F278" s="1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12"/>
      <c r="B279" s="12" t="str">
        <f t="shared" si="1"/>
        <v/>
      </c>
      <c r="C279" s="12"/>
      <c r="D279" s="11"/>
      <c r="E279" s="12"/>
      <c r="F279" s="1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12"/>
      <c r="B280" s="12" t="str">
        <f t="shared" si="1"/>
        <v/>
      </c>
      <c r="C280" s="12"/>
      <c r="D280" s="11"/>
      <c r="E280" s="12"/>
      <c r="F280" s="1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12"/>
      <c r="B281" s="12" t="str">
        <f t="shared" si="1"/>
        <v/>
      </c>
      <c r="C281" s="12"/>
      <c r="D281" s="11"/>
      <c r="E281" s="12"/>
      <c r="F281" s="1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12"/>
      <c r="B282" s="12" t="str">
        <f t="shared" si="1"/>
        <v/>
      </c>
      <c r="C282" s="12"/>
      <c r="D282" s="11"/>
      <c r="E282" s="12"/>
      <c r="F282" s="1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12"/>
      <c r="B283" s="12" t="str">
        <f t="shared" si="1"/>
        <v/>
      </c>
      <c r="C283" s="12"/>
      <c r="D283" s="11"/>
      <c r="E283" s="12"/>
      <c r="F283" s="1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12"/>
      <c r="B284" s="12" t="str">
        <f t="shared" si="1"/>
        <v/>
      </c>
      <c r="C284" s="12"/>
      <c r="D284" s="11"/>
      <c r="E284" s="12"/>
      <c r="F284" s="1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12"/>
      <c r="B285" s="12" t="str">
        <f t="shared" si="1"/>
        <v/>
      </c>
      <c r="C285" s="12"/>
      <c r="D285" s="11"/>
      <c r="E285" s="12"/>
      <c r="F285" s="1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12"/>
      <c r="B286" s="12" t="str">
        <f t="shared" si="1"/>
        <v/>
      </c>
      <c r="C286" s="12"/>
      <c r="D286" s="11"/>
      <c r="E286" s="12"/>
      <c r="F286" s="1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12"/>
      <c r="B287" s="12" t="str">
        <f t="shared" si="1"/>
        <v/>
      </c>
      <c r="C287" s="12"/>
      <c r="D287" s="11"/>
      <c r="E287" s="12"/>
      <c r="F287" s="1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12"/>
      <c r="B288" s="12" t="str">
        <f t="shared" si="1"/>
        <v/>
      </c>
      <c r="C288" s="12"/>
      <c r="D288" s="11"/>
      <c r="E288" s="12"/>
      <c r="F288" s="1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12"/>
      <c r="B289" s="12" t="str">
        <f t="shared" si="1"/>
        <v/>
      </c>
      <c r="C289" s="12"/>
      <c r="D289" s="11"/>
      <c r="E289" s="12"/>
      <c r="F289" s="1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12"/>
      <c r="B290" s="12" t="str">
        <f t="shared" si="1"/>
        <v/>
      </c>
      <c r="C290" s="12"/>
      <c r="D290" s="11"/>
      <c r="E290" s="12"/>
      <c r="F290" s="1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12"/>
      <c r="B291" s="12" t="str">
        <f t="shared" si="1"/>
        <v/>
      </c>
      <c r="C291" s="12"/>
      <c r="D291" s="11"/>
      <c r="E291" s="12"/>
      <c r="F291" s="1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12"/>
      <c r="B292" s="12" t="str">
        <f t="shared" si="1"/>
        <v/>
      </c>
      <c r="C292" s="12"/>
      <c r="D292" s="11"/>
      <c r="E292" s="12"/>
      <c r="F292" s="1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12"/>
      <c r="B293" s="12" t="str">
        <f t="shared" si="1"/>
        <v/>
      </c>
      <c r="C293" s="12"/>
      <c r="D293" s="11"/>
      <c r="E293" s="12"/>
      <c r="F293" s="1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12"/>
      <c r="B294" s="12" t="str">
        <f t="shared" si="1"/>
        <v/>
      </c>
      <c r="C294" s="12"/>
      <c r="D294" s="11"/>
      <c r="E294" s="12"/>
      <c r="F294" s="1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12"/>
      <c r="B295" s="12" t="str">
        <f t="shared" si="1"/>
        <v/>
      </c>
      <c r="C295" s="12"/>
      <c r="D295" s="11"/>
      <c r="E295" s="12"/>
      <c r="F295" s="1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12"/>
      <c r="B296" s="12" t="str">
        <f t="shared" si="1"/>
        <v/>
      </c>
      <c r="C296" s="12"/>
      <c r="D296" s="11"/>
      <c r="E296" s="12"/>
      <c r="F296" s="1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12"/>
      <c r="B297" s="12" t="str">
        <f t="shared" si="1"/>
        <v/>
      </c>
      <c r="C297" s="12"/>
      <c r="D297" s="11"/>
      <c r="E297" s="12"/>
      <c r="F297" s="1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12"/>
      <c r="B298" s="12" t="str">
        <f t="shared" si="1"/>
        <v/>
      </c>
      <c r="C298" s="12"/>
      <c r="D298" s="11"/>
      <c r="E298" s="12"/>
      <c r="F298" s="1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12"/>
      <c r="B299" s="12" t="str">
        <f t="shared" si="1"/>
        <v/>
      </c>
      <c r="C299" s="12"/>
      <c r="D299" s="11"/>
      <c r="E299" s="12"/>
      <c r="F299" s="1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12"/>
      <c r="B300" s="12" t="str">
        <f t="shared" si="1"/>
        <v/>
      </c>
      <c r="C300" s="12"/>
      <c r="D300" s="11"/>
      <c r="E300" s="12"/>
      <c r="F300" s="1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12"/>
      <c r="B301" s="12" t="str">
        <f t="shared" si="1"/>
        <v/>
      </c>
      <c r="C301" s="12"/>
      <c r="D301" s="11"/>
      <c r="E301" s="12"/>
      <c r="F301" s="1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12"/>
      <c r="B302" s="12" t="str">
        <f t="shared" si="1"/>
        <v/>
      </c>
      <c r="C302" s="12"/>
      <c r="D302" s="11"/>
      <c r="E302" s="12"/>
      <c r="F302" s="1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12"/>
      <c r="B303" s="12" t="str">
        <f t="shared" si="1"/>
        <v/>
      </c>
      <c r="C303" s="12"/>
      <c r="D303" s="11"/>
      <c r="E303" s="12"/>
      <c r="F303" s="1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12"/>
      <c r="B304" s="12" t="str">
        <f t="shared" si="1"/>
        <v/>
      </c>
      <c r="C304" s="12"/>
      <c r="D304" s="11"/>
      <c r="E304" s="12"/>
      <c r="F304" s="1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12"/>
      <c r="B305" s="12" t="str">
        <f t="shared" si="1"/>
        <v/>
      </c>
      <c r="C305" s="12"/>
      <c r="D305" s="11"/>
      <c r="E305" s="12"/>
      <c r="F305" s="1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12"/>
      <c r="B306" s="12" t="str">
        <f t="shared" si="1"/>
        <v/>
      </c>
      <c r="C306" s="12"/>
      <c r="D306" s="11"/>
      <c r="E306" s="12"/>
      <c r="F306" s="1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12"/>
      <c r="B307" s="12" t="str">
        <f t="shared" si="1"/>
        <v/>
      </c>
      <c r="C307" s="12"/>
      <c r="D307" s="11"/>
      <c r="E307" s="12"/>
      <c r="F307" s="1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12"/>
      <c r="B308" s="12" t="str">
        <f t="shared" si="1"/>
        <v/>
      </c>
      <c r="C308" s="12"/>
      <c r="D308" s="12"/>
      <c r="E308" s="12"/>
      <c r="F308" s="1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12"/>
      <c r="B309" s="12" t="str">
        <f t="shared" si="1"/>
        <v/>
      </c>
      <c r="C309" s="12"/>
      <c r="D309" s="12"/>
      <c r="E309" s="12"/>
      <c r="F309" s="1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12"/>
      <c r="B310" s="12" t="str">
        <f t="shared" si="1"/>
        <v/>
      </c>
      <c r="C310" s="12"/>
      <c r="D310" s="12"/>
      <c r="E310" s="12"/>
      <c r="F310" s="1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12"/>
      <c r="B311" s="12" t="str">
        <f t="shared" si="1"/>
        <v/>
      </c>
      <c r="C311" s="12"/>
      <c r="D311" s="12"/>
      <c r="E311" s="12"/>
      <c r="F311" s="1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12"/>
      <c r="B312" s="12" t="str">
        <f t="shared" si="1"/>
        <v/>
      </c>
      <c r="C312" s="12"/>
      <c r="D312" s="12"/>
      <c r="E312" s="12"/>
      <c r="F312" s="1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12"/>
      <c r="B313" s="12" t="str">
        <f t="shared" si="1"/>
        <v/>
      </c>
      <c r="C313" s="12"/>
      <c r="D313" s="12"/>
      <c r="E313" s="12"/>
      <c r="F313" s="1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12"/>
      <c r="B314" s="12" t="str">
        <f t="shared" si="1"/>
        <v/>
      </c>
      <c r="C314" s="12"/>
      <c r="D314" s="12"/>
      <c r="E314" s="12"/>
      <c r="F314" s="1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12"/>
      <c r="B315" s="12" t="str">
        <f t="shared" si="1"/>
        <v/>
      </c>
      <c r="C315" s="12"/>
      <c r="D315" s="12"/>
      <c r="E315" s="12"/>
      <c r="F315" s="1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12"/>
      <c r="B316" s="12" t="str">
        <f t="shared" si="1"/>
        <v/>
      </c>
      <c r="C316" s="12"/>
      <c r="D316" s="12"/>
      <c r="E316" s="12"/>
      <c r="F316" s="1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12"/>
      <c r="B317" s="12" t="str">
        <f t="shared" si="1"/>
        <v/>
      </c>
      <c r="C317" s="12"/>
      <c r="D317" s="12"/>
      <c r="E317" s="12"/>
      <c r="F317" s="1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12"/>
      <c r="B318" s="12" t="str">
        <f t="shared" si="1"/>
        <v/>
      </c>
      <c r="C318" s="12"/>
      <c r="D318" s="12"/>
      <c r="E318" s="12"/>
      <c r="F318" s="1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12"/>
      <c r="B319" s="12" t="str">
        <f t="shared" si="1"/>
        <v/>
      </c>
      <c r="C319" s="12"/>
      <c r="D319" s="12"/>
      <c r="E319" s="12"/>
      <c r="F319" s="1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12"/>
      <c r="B320" s="12" t="str">
        <f t="shared" si="1"/>
        <v/>
      </c>
      <c r="C320" s="12"/>
      <c r="D320" s="12"/>
      <c r="E320" s="12"/>
      <c r="F320" s="1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12"/>
      <c r="B321" s="12" t="str">
        <f t="shared" si="1"/>
        <v/>
      </c>
      <c r="C321" s="12"/>
      <c r="D321" s="12"/>
      <c r="E321" s="12"/>
      <c r="F321" s="1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12"/>
      <c r="B322" s="12" t="str">
        <f t="shared" si="1"/>
        <v/>
      </c>
      <c r="C322" s="12"/>
      <c r="D322" s="12"/>
      <c r="E322" s="12"/>
      <c r="F322" s="1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12"/>
      <c r="B323" s="12" t="str">
        <f t="shared" si="1"/>
        <v/>
      </c>
      <c r="C323" s="12"/>
      <c r="D323" s="12"/>
      <c r="E323" s="12"/>
      <c r="F323" s="1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12"/>
      <c r="B324" s="12" t="str">
        <f t="shared" si="1"/>
        <v/>
      </c>
      <c r="C324" s="12"/>
      <c r="D324" s="12"/>
      <c r="E324" s="12"/>
      <c r="F324" s="1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12"/>
      <c r="B325" s="12" t="str">
        <f t="shared" si="1"/>
        <v/>
      </c>
      <c r="C325" s="12"/>
      <c r="D325" s="12"/>
      <c r="E325" s="12"/>
      <c r="F325" s="1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12"/>
      <c r="B326" s="12" t="str">
        <f t="shared" si="1"/>
        <v/>
      </c>
      <c r="C326" s="12"/>
      <c r="D326" s="12"/>
      <c r="E326" s="12"/>
      <c r="F326" s="1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12"/>
      <c r="B327" s="12" t="str">
        <f t="shared" si="1"/>
        <v/>
      </c>
      <c r="C327" s="12"/>
      <c r="D327" s="12"/>
      <c r="E327" s="12"/>
      <c r="F327" s="1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12"/>
      <c r="B328" s="12" t="str">
        <f t="shared" si="1"/>
        <v/>
      </c>
      <c r="C328" s="12"/>
      <c r="D328" s="12"/>
      <c r="E328" s="12"/>
      <c r="F328" s="1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12"/>
      <c r="B329" s="12" t="str">
        <f t="shared" si="1"/>
        <v/>
      </c>
      <c r="C329" s="12"/>
      <c r="D329" s="12"/>
      <c r="E329" s="12"/>
      <c r="F329" s="1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12"/>
      <c r="B330" s="12" t="str">
        <f t="shared" si="1"/>
        <v/>
      </c>
      <c r="C330" s="12"/>
      <c r="D330" s="12"/>
      <c r="E330" s="12"/>
      <c r="F330" s="1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12"/>
      <c r="B331" s="12" t="str">
        <f t="shared" si="1"/>
        <v/>
      </c>
      <c r="C331" s="12"/>
      <c r="D331" s="12"/>
      <c r="E331" s="12"/>
      <c r="F331" s="1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12"/>
      <c r="B332" s="12" t="str">
        <f t="shared" si="1"/>
        <v/>
      </c>
      <c r="C332" s="12"/>
      <c r="D332" s="12"/>
      <c r="E332" s="12"/>
      <c r="F332" s="1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12"/>
      <c r="B333" s="12" t="str">
        <f t="shared" si="1"/>
        <v/>
      </c>
      <c r="C333" s="12"/>
      <c r="D333" s="12"/>
      <c r="E333" s="12"/>
      <c r="F333" s="1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12"/>
      <c r="B334" s="12" t="str">
        <f t="shared" si="1"/>
        <v/>
      </c>
      <c r="C334" s="12"/>
      <c r="D334" s="12"/>
      <c r="E334" s="12"/>
      <c r="F334" s="1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12"/>
      <c r="B335" s="12" t="str">
        <f t="shared" si="1"/>
        <v/>
      </c>
      <c r="C335" s="12"/>
      <c r="D335" s="12"/>
      <c r="E335" s="12"/>
      <c r="F335" s="1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12"/>
      <c r="B336" s="12" t="str">
        <f t="shared" si="1"/>
        <v/>
      </c>
      <c r="C336" s="12"/>
      <c r="D336" s="12"/>
      <c r="E336" s="12"/>
      <c r="F336" s="1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12"/>
      <c r="B337" s="12" t="str">
        <f t="shared" si="1"/>
        <v/>
      </c>
      <c r="C337" s="12"/>
      <c r="D337" s="12"/>
      <c r="E337" s="12"/>
      <c r="F337" s="1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12"/>
      <c r="B338" s="12" t="str">
        <f t="shared" si="1"/>
        <v/>
      </c>
      <c r="C338" s="12"/>
      <c r="D338" s="12"/>
      <c r="E338" s="12"/>
      <c r="F338" s="1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12"/>
      <c r="B339" s="12" t="str">
        <f t="shared" si="1"/>
        <v/>
      </c>
      <c r="C339" s="12"/>
      <c r="D339" s="12"/>
      <c r="E339" s="12"/>
      <c r="F339" s="1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12"/>
      <c r="B340" s="12" t="str">
        <f t="shared" si="1"/>
        <v/>
      </c>
      <c r="C340" s="12"/>
      <c r="D340" s="12"/>
      <c r="E340" s="12"/>
      <c r="F340" s="1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12"/>
      <c r="B341" s="12" t="str">
        <f t="shared" si="1"/>
        <v/>
      </c>
      <c r="C341" s="12"/>
      <c r="D341" s="12"/>
      <c r="E341" s="12"/>
      <c r="F341" s="1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12"/>
      <c r="B342" s="12" t="str">
        <f t="shared" si="1"/>
        <v/>
      </c>
      <c r="C342" s="12"/>
      <c r="D342" s="12"/>
      <c r="E342" s="12"/>
      <c r="F342" s="1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12"/>
      <c r="B343" s="12" t="str">
        <f t="shared" si="1"/>
        <v/>
      </c>
      <c r="C343" s="12"/>
      <c r="D343" s="12"/>
      <c r="E343" s="12"/>
      <c r="F343" s="1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12"/>
      <c r="B344" s="12" t="str">
        <f t="shared" si="1"/>
        <v/>
      </c>
      <c r="C344" s="12"/>
      <c r="D344" s="12"/>
      <c r="E344" s="12"/>
      <c r="F344" s="1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12"/>
      <c r="B345" s="12" t="str">
        <f t="shared" si="1"/>
        <v/>
      </c>
      <c r="C345" s="12"/>
      <c r="D345" s="12"/>
      <c r="E345" s="12"/>
      <c r="F345" s="1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12"/>
      <c r="B346" s="12" t="str">
        <f t="shared" si="1"/>
        <v/>
      </c>
      <c r="C346" s="12"/>
      <c r="D346" s="12"/>
      <c r="E346" s="12"/>
      <c r="F346" s="1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12"/>
      <c r="B347" s="12" t="str">
        <f t="shared" si="1"/>
        <v/>
      </c>
      <c r="C347" s="12"/>
      <c r="D347" s="12"/>
      <c r="E347" s="12"/>
      <c r="F347" s="1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12"/>
      <c r="B348" s="12" t="str">
        <f t="shared" si="1"/>
        <v/>
      </c>
      <c r="C348" s="12"/>
      <c r="D348" s="12"/>
      <c r="E348" s="12"/>
      <c r="F348" s="1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12"/>
      <c r="B349" s="12" t="str">
        <f t="shared" si="1"/>
        <v/>
      </c>
      <c r="C349" s="12"/>
      <c r="D349" s="12"/>
      <c r="E349" s="12"/>
      <c r="F349" s="1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12"/>
      <c r="B350" s="12" t="str">
        <f t="shared" si="1"/>
        <v/>
      </c>
      <c r="C350" s="12"/>
      <c r="D350" s="12"/>
      <c r="E350" s="12"/>
      <c r="F350" s="1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12"/>
      <c r="B351" s="12" t="str">
        <f t="shared" si="1"/>
        <v/>
      </c>
      <c r="C351" s="12"/>
      <c r="D351" s="12"/>
      <c r="E351" s="12"/>
      <c r="F351" s="1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12"/>
      <c r="B352" s="12" t="str">
        <f t="shared" si="1"/>
        <v/>
      </c>
      <c r="C352" s="12"/>
      <c r="D352" s="12"/>
      <c r="E352" s="12"/>
      <c r="F352" s="1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12"/>
      <c r="B353" s="12" t="str">
        <f t="shared" si="1"/>
        <v/>
      </c>
      <c r="C353" s="12"/>
      <c r="D353" s="12"/>
      <c r="E353" s="12"/>
      <c r="F353" s="1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12"/>
      <c r="B354" s="12" t="str">
        <f t="shared" si="1"/>
        <v/>
      </c>
      <c r="C354" s="12"/>
      <c r="D354" s="12"/>
      <c r="E354" s="12"/>
      <c r="F354" s="1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12"/>
      <c r="B355" s="12" t="str">
        <f t="shared" si="1"/>
        <v/>
      </c>
      <c r="C355" s="12"/>
      <c r="D355" s="12"/>
      <c r="E355" s="12"/>
      <c r="F355" s="1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12"/>
      <c r="B356" s="12" t="str">
        <f t="shared" si="1"/>
        <v/>
      </c>
      <c r="C356" s="12"/>
      <c r="D356" s="12"/>
      <c r="E356" s="12"/>
      <c r="F356" s="1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12"/>
      <c r="B357" s="12" t="str">
        <f t="shared" si="1"/>
        <v/>
      </c>
      <c r="C357" s="12"/>
      <c r="D357" s="12"/>
      <c r="E357" s="12"/>
      <c r="F357" s="1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12"/>
      <c r="B358" s="12" t="str">
        <f t="shared" si="1"/>
        <v/>
      </c>
      <c r="C358" s="12"/>
      <c r="D358" s="12"/>
      <c r="E358" s="12"/>
      <c r="F358" s="1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12"/>
      <c r="B359" s="12" t="str">
        <f t="shared" si="1"/>
        <v/>
      </c>
      <c r="C359" s="12"/>
      <c r="D359" s="12"/>
      <c r="E359" s="12"/>
      <c r="F359" s="1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12"/>
      <c r="B360" s="12" t="str">
        <f t="shared" si="1"/>
        <v/>
      </c>
      <c r="C360" s="12"/>
      <c r="D360" s="12"/>
      <c r="E360" s="12"/>
      <c r="F360" s="1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12"/>
      <c r="B361" s="12" t="str">
        <f t="shared" si="1"/>
        <v/>
      </c>
      <c r="C361" s="12"/>
      <c r="D361" s="12"/>
      <c r="E361" s="12"/>
      <c r="F361" s="1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12"/>
      <c r="B362" s="12" t="str">
        <f t="shared" si="1"/>
        <v/>
      </c>
      <c r="C362" s="12"/>
      <c r="D362" s="12"/>
      <c r="E362" s="12"/>
      <c r="F362" s="1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12"/>
      <c r="B363" s="12" t="str">
        <f t="shared" si="1"/>
        <v/>
      </c>
      <c r="C363" s="12"/>
      <c r="D363" s="12"/>
      <c r="E363" s="12"/>
      <c r="F363" s="1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12"/>
      <c r="B364" s="12" t="str">
        <f t="shared" si="1"/>
        <v/>
      </c>
      <c r="C364" s="12"/>
      <c r="D364" s="12"/>
      <c r="E364" s="12"/>
      <c r="F364" s="1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12"/>
      <c r="B365" s="12" t="str">
        <f t="shared" si="1"/>
        <v/>
      </c>
      <c r="C365" s="12"/>
      <c r="D365" s="12"/>
      <c r="E365" s="12"/>
      <c r="F365" s="1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12"/>
      <c r="B366" s="12" t="str">
        <f t="shared" si="1"/>
        <v/>
      </c>
      <c r="C366" s="12"/>
      <c r="D366" s="12"/>
      <c r="E366" s="12"/>
      <c r="F366" s="1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12"/>
      <c r="B367" s="12" t="str">
        <f t="shared" si="1"/>
        <v/>
      </c>
      <c r="C367" s="12"/>
      <c r="D367" s="12"/>
      <c r="E367" s="12"/>
      <c r="F367" s="1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12"/>
      <c r="B368" s="12" t="str">
        <f t="shared" si="1"/>
        <v/>
      </c>
      <c r="C368" s="12"/>
      <c r="D368" s="12"/>
      <c r="E368" s="12"/>
      <c r="F368" s="1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12"/>
      <c r="B369" s="12" t="str">
        <f t="shared" si="1"/>
        <v/>
      </c>
      <c r="C369" s="12"/>
      <c r="D369" s="12"/>
      <c r="E369" s="12"/>
      <c r="F369" s="1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12"/>
      <c r="B370" s="12" t="str">
        <f t="shared" si="1"/>
        <v/>
      </c>
      <c r="C370" s="12"/>
      <c r="D370" s="12"/>
      <c r="E370" s="12"/>
      <c r="F370" s="1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12"/>
      <c r="B371" s="12" t="str">
        <f t="shared" si="1"/>
        <v/>
      </c>
      <c r="C371" s="12"/>
      <c r="D371" s="12"/>
      <c r="E371" s="12"/>
      <c r="F371" s="1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12"/>
      <c r="B372" s="12" t="str">
        <f t="shared" si="1"/>
        <v/>
      </c>
      <c r="C372" s="12"/>
      <c r="D372" s="12"/>
      <c r="E372" s="12"/>
      <c r="F372" s="1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12"/>
      <c r="B373" s="12" t="str">
        <f t="shared" si="1"/>
        <v/>
      </c>
      <c r="C373" s="12"/>
      <c r="D373" s="12"/>
      <c r="E373" s="12"/>
      <c r="F373" s="1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12"/>
      <c r="B374" s="12" t="str">
        <f t="shared" si="1"/>
        <v/>
      </c>
      <c r="C374" s="12"/>
      <c r="D374" s="12"/>
      <c r="E374" s="12"/>
      <c r="F374" s="1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12"/>
      <c r="B375" s="12" t="str">
        <f t="shared" si="1"/>
        <v/>
      </c>
      <c r="C375" s="12"/>
      <c r="D375" s="12"/>
      <c r="E375" s="12"/>
      <c r="F375" s="1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12"/>
      <c r="B376" s="12" t="str">
        <f t="shared" si="1"/>
        <v/>
      </c>
      <c r="C376" s="12"/>
      <c r="D376" s="12"/>
      <c r="E376" s="12"/>
      <c r="F376" s="1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12"/>
      <c r="B377" s="12" t="str">
        <f t="shared" si="1"/>
        <v/>
      </c>
      <c r="C377" s="12"/>
      <c r="D377" s="12"/>
      <c r="E377" s="12"/>
      <c r="F377" s="1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12"/>
      <c r="B378" s="12" t="str">
        <f t="shared" si="1"/>
        <v/>
      </c>
      <c r="C378" s="12"/>
      <c r="D378" s="12"/>
      <c r="E378" s="12"/>
      <c r="F378" s="1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12"/>
      <c r="B379" s="12" t="str">
        <f t="shared" si="1"/>
        <v/>
      </c>
      <c r="C379" s="12"/>
      <c r="D379" s="12"/>
      <c r="E379" s="12"/>
      <c r="F379" s="1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12"/>
      <c r="B380" s="12" t="str">
        <f t="shared" si="1"/>
        <v/>
      </c>
      <c r="C380" s="12"/>
      <c r="D380" s="12"/>
      <c r="E380" s="12"/>
      <c r="F380" s="1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12"/>
      <c r="B381" s="12" t="str">
        <f t="shared" si="1"/>
        <v/>
      </c>
      <c r="C381" s="12"/>
      <c r="D381" s="12"/>
      <c r="E381" s="12"/>
      <c r="F381" s="1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12"/>
      <c r="B382" s="12" t="str">
        <f t="shared" si="1"/>
        <v/>
      </c>
      <c r="C382" s="12"/>
      <c r="D382" s="12"/>
      <c r="E382" s="12"/>
      <c r="F382" s="1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12"/>
      <c r="B383" s="12" t="str">
        <f t="shared" si="1"/>
        <v/>
      </c>
      <c r="C383" s="12"/>
      <c r="D383" s="12"/>
      <c r="E383" s="12"/>
      <c r="F383" s="1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12"/>
      <c r="B384" s="12" t="str">
        <f t="shared" si="1"/>
        <v/>
      </c>
      <c r="C384" s="12"/>
      <c r="D384" s="12"/>
      <c r="E384" s="12"/>
      <c r="F384" s="1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12"/>
      <c r="B385" s="12" t="str">
        <f t="shared" si="1"/>
        <v/>
      </c>
      <c r="C385" s="12"/>
      <c r="D385" s="12"/>
      <c r="E385" s="12"/>
      <c r="F385" s="1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12"/>
      <c r="B386" s="12" t="str">
        <f t="shared" si="1"/>
        <v/>
      </c>
      <c r="C386" s="12"/>
      <c r="D386" s="12"/>
      <c r="E386" s="12"/>
      <c r="F386" s="1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12"/>
      <c r="B387" s="12" t="str">
        <f t="shared" si="1"/>
        <v/>
      </c>
      <c r="C387" s="12"/>
      <c r="D387" s="12"/>
      <c r="E387" s="12"/>
      <c r="F387" s="1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12"/>
      <c r="B388" s="12" t="str">
        <f t="shared" si="1"/>
        <v/>
      </c>
      <c r="C388" s="12"/>
      <c r="D388" s="12"/>
      <c r="E388" s="12"/>
      <c r="F388" s="1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12"/>
      <c r="B389" s="12" t="str">
        <f t="shared" si="1"/>
        <v/>
      </c>
      <c r="C389" s="12"/>
      <c r="D389" s="12"/>
      <c r="E389" s="12"/>
      <c r="F389" s="1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12"/>
      <c r="B390" s="12" t="str">
        <f t="shared" si="1"/>
        <v/>
      </c>
      <c r="C390" s="12"/>
      <c r="D390" s="12"/>
      <c r="E390" s="12"/>
      <c r="F390" s="1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12"/>
      <c r="B391" s="12" t="str">
        <f t="shared" si="1"/>
        <v/>
      </c>
      <c r="C391" s="12"/>
      <c r="D391" s="12"/>
      <c r="E391" s="12"/>
      <c r="F391" s="1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12"/>
      <c r="B392" s="12" t="str">
        <f t="shared" si="1"/>
        <v/>
      </c>
      <c r="C392" s="12"/>
      <c r="D392" s="12"/>
      <c r="E392" s="12"/>
      <c r="F392" s="1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12"/>
      <c r="B393" s="12" t="str">
        <f t="shared" si="1"/>
        <v/>
      </c>
      <c r="C393" s="12"/>
      <c r="D393" s="12"/>
      <c r="E393" s="12"/>
      <c r="F393" s="1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12"/>
      <c r="B394" s="12" t="str">
        <f t="shared" si="1"/>
        <v/>
      </c>
      <c r="C394" s="12"/>
      <c r="D394" s="12"/>
      <c r="E394" s="12"/>
      <c r="F394" s="1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12"/>
      <c r="B395" s="12" t="str">
        <f t="shared" si="1"/>
        <v/>
      </c>
      <c r="C395" s="12"/>
      <c r="D395" s="12"/>
      <c r="E395" s="12"/>
      <c r="F395" s="1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12"/>
      <c r="B396" s="12" t="str">
        <f t="shared" si="1"/>
        <v/>
      </c>
      <c r="C396" s="12"/>
      <c r="D396" s="12"/>
      <c r="E396" s="12"/>
      <c r="F396" s="1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12"/>
      <c r="B397" s="12" t="str">
        <f t="shared" si="1"/>
        <v/>
      </c>
      <c r="C397" s="12"/>
      <c r="D397" s="12"/>
      <c r="E397" s="12"/>
      <c r="F397" s="1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12"/>
      <c r="B398" s="12" t="str">
        <f t="shared" si="1"/>
        <v/>
      </c>
      <c r="C398" s="12"/>
      <c r="D398" s="12"/>
      <c r="E398" s="12"/>
      <c r="F398" s="1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12"/>
      <c r="B399" s="12" t="str">
        <f t="shared" si="1"/>
        <v/>
      </c>
      <c r="C399" s="12"/>
      <c r="D399" s="12"/>
      <c r="E399" s="12"/>
      <c r="F399" s="1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12"/>
      <c r="B400" s="12" t="str">
        <f t="shared" si="1"/>
        <v/>
      </c>
      <c r="C400" s="12"/>
      <c r="D400" s="12"/>
      <c r="E400" s="12"/>
      <c r="F400" s="1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12"/>
      <c r="B401" s="12" t="str">
        <f t="shared" si="1"/>
        <v/>
      </c>
      <c r="C401" s="12"/>
      <c r="D401" s="12"/>
      <c r="E401" s="12"/>
      <c r="F401" s="1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12"/>
      <c r="B402" s="12" t="str">
        <f t="shared" si="1"/>
        <v/>
      </c>
      <c r="C402" s="12"/>
      <c r="D402" s="12"/>
      <c r="E402" s="12"/>
      <c r="F402" s="1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12"/>
      <c r="B403" s="12" t="str">
        <f t="shared" si="1"/>
        <v/>
      </c>
      <c r="C403" s="12"/>
      <c r="D403" s="12"/>
      <c r="E403" s="12"/>
      <c r="F403" s="1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12"/>
      <c r="B404" s="12" t="str">
        <f t="shared" si="1"/>
        <v/>
      </c>
      <c r="C404" s="12"/>
      <c r="D404" s="12"/>
      <c r="E404" s="12"/>
      <c r="F404" s="1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12"/>
      <c r="B405" s="12" t="str">
        <f t="shared" si="1"/>
        <v/>
      </c>
      <c r="C405" s="12"/>
      <c r="D405" s="12"/>
      <c r="E405" s="12"/>
      <c r="F405" s="1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12"/>
      <c r="B406" s="12" t="str">
        <f t="shared" si="1"/>
        <v/>
      </c>
      <c r="C406" s="12"/>
      <c r="D406" s="12"/>
      <c r="E406" s="12"/>
      <c r="F406" s="1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12"/>
      <c r="B407" s="12" t="str">
        <f t="shared" si="1"/>
        <v/>
      </c>
      <c r="C407" s="12"/>
      <c r="D407" s="12"/>
      <c r="E407" s="12"/>
      <c r="F407" s="1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12"/>
      <c r="B408" s="12" t="str">
        <f t="shared" si="1"/>
        <v/>
      </c>
      <c r="C408" s="12"/>
      <c r="D408" s="12"/>
      <c r="E408" s="12"/>
      <c r="F408" s="1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12"/>
      <c r="B409" s="12" t="str">
        <f t="shared" si="1"/>
        <v/>
      </c>
      <c r="C409" s="12"/>
      <c r="D409" s="12"/>
      <c r="E409" s="12"/>
      <c r="F409" s="1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12"/>
      <c r="B410" s="12" t="str">
        <f t="shared" si="1"/>
        <v/>
      </c>
      <c r="C410" s="12"/>
      <c r="D410" s="12"/>
      <c r="E410" s="12"/>
      <c r="F410" s="1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12"/>
      <c r="B411" s="12" t="str">
        <f t="shared" si="1"/>
        <v/>
      </c>
      <c r="C411" s="12"/>
      <c r="D411" s="12"/>
      <c r="E411" s="12"/>
      <c r="F411" s="1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12"/>
      <c r="B412" s="12" t="str">
        <f t="shared" si="1"/>
        <v/>
      </c>
      <c r="C412" s="12"/>
      <c r="D412" s="12"/>
      <c r="E412" s="12"/>
      <c r="F412" s="1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12"/>
      <c r="B413" s="12" t="str">
        <f t="shared" si="1"/>
        <v/>
      </c>
      <c r="C413" s="12"/>
      <c r="D413" s="12"/>
      <c r="E413" s="12"/>
      <c r="F413" s="1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12"/>
      <c r="B414" s="12" t="str">
        <f t="shared" si="1"/>
        <v/>
      </c>
      <c r="C414" s="12"/>
      <c r="D414" s="12"/>
      <c r="E414" s="12"/>
      <c r="F414" s="1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12"/>
      <c r="B415" s="12" t="str">
        <f t="shared" si="1"/>
        <v/>
      </c>
      <c r="C415" s="12"/>
      <c r="D415" s="12"/>
      <c r="E415" s="12"/>
      <c r="F415" s="1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12"/>
      <c r="B416" s="12" t="str">
        <f t="shared" si="1"/>
        <v/>
      </c>
      <c r="C416" s="12"/>
      <c r="D416" s="12"/>
      <c r="E416" s="12"/>
      <c r="F416" s="1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12"/>
      <c r="B417" s="12" t="str">
        <f t="shared" si="1"/>
        <v/>
      </c>
      <c r="C417" s="12"/>
      <c r="D417" s="12"/>
      <c r="E417" s="12"/>
      <c r="F417" s="1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12"/>
      <c r="B418" s="12" t="str">
        <f t="shared" si="1"/>
        <v/>
      </c>
      <c r="C418" s="12"/>
      <c r="D418" s="12"/>
      <c r="E418" s="12"/>
      <c r="F418" s="1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12"/>
      <c r="B419" s="12" t="str">
        <f t="shared" si="1"/>
        <v/>
      </c>
      <c r="C419" s="12"/>
      <c r="D419" s="12"/>
      <c r="E419" s="12"/>
      <c r="F419" s="1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12"/>
      <c r="B420" s="12" t="str">
        <f t="shared" si="1"/>
        <v/>
      </c>
      <c r="C420" s="12"/>
      <c r="D420" s="12"/>
      <c r="E420" s="12"/>
      <c r="F420" s="1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12"/>
      <c r="B421" s="12" t="str">
        <f t="shared" si="1"/>
        <v/>
      </c>
      <c r="C421" s="12"/>
      <c r="D421" s="12"/>
      <c r="E421" s="12"/>
      <c r="F421" s="1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12"/>
      <c r="B422" s="12" t="str">
        <f t="shared" si="1"/>
        <v/>
      </c>
      <c r="C422" s="12"/>
      <c r="D422" s="12"/>
      <c r="E422" s="12"/>
      <c r="F422" s="1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12"/>
      <c r="B423" s="12" t="str">
        <f t="shared" si="1"/>
        <v/>
      </c>
      <c r="C423" s="12"/>
      <c r="D423" s="12"/>
      <c r="E423" s="12"/>
      <c r="F423" s="1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12"/>
      <c r="B424" s="12" t="str">
        <f t="shared" si="1"/>
        <v/>
      </c>
      <c r="C424" s="12"/>
      <c r="D424" s="12"/>
      <c r="E424" s="12"/>
      <c r="F424" s="1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12"/>
      <c r="B425" s="12" t="str">
        <f t="shared" si="1"/>
        <v/>
      </c>
      <c r="C425" s="12"/>
      <c r="D425" s="12"/>
      <c r="E425" s="12"/>
      <c r="F425" s="1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12"/>
      <c r="B426" s="12" t="str">
        <f t="shared" si="1"/>
        <v/>
      </c>
      <c r="C426" s="12"/>
      <c r="D426" s="12"/>
      <c r="E426" s="12"/>
      <c r="F426" s="1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12"/>
      <c r="B427" s="12" t="str">
        <f t="shared" si="1"/>
        <v/>
      </c>
      <c r="C427" s="12"/>
      <c r="D427" s="12"/>
      <c r="E427" s="12"/>
      <c r="F427" s="1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12"/>
      <c r="B428" s="12" t="str">
        <f t="shared" si="1"/>
        <v/>
      </c>
      <c r="C428" s="12"/>
      <c r="D428" s="12"/>
      <c r="E428" s="12"/>
      <c r="F428" s="1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12"/>
      <c r="B429" s="12" t="str">
        <f t="shared" si="1"/>
        <v/>
      </c>
      <c r="C429" s="12"/>
      <c r="D429" s="12"/>
      <c r="E429" s="12"/>
      <c r="F429" s="1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12"/>
      <c r="B430" s="12" t="str">
        <f t="shared" si="1"/>
        <v/>
      </c>
      <c r="C430" s="12"/>
      <c r="D430" s="12"/>
      <c r="E430" s="12"/>
      <c r="F430" s="1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12"/>
      <c r="B431" s="12" t="str">
        <f t="shared" si="1"/>
        <v/>
      </c>
      <c r="C431" s="12"/>
      <c r="D431" s="12"/>
      <c r="E431" s="12"/>
      <c r="F431" s="1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12"/>
      <c r="B432" s="12" t="str">
        <f t="shared" si="1"/>
        <v/>
      </c>
      <c r="C432" s="12"/>
      <c r="D432" s="12"/>
      <c r="E432" s="12"/>
      <c r="F432" s="1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12"/>
      <c r="B433" s="12" t="str">
        <f t="shared" si="1"/>
        <v/>
      </c>
      <c r="C433" s="12"/>
      <c r="D433" s="12"/>
      <c r="E433" s="12"/>
      <c r="F433" s="1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12"/>
      <c r="B434" s="12" t="str">
        <f t="shared" si="1"/>
        <v/>
      </c>
      <c r="C434" s="12"/>
      <c r="D434" s="12"/>
      <c r="E434" s="12"/>
      <c r="F434" s="1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12"/>
      <c r="B435" s="12" t="str">
        <f t="shared" si="1"/>
        <v/>
      </c>
      <c r="C435" s="12"/>
      <c r="D435" s="12"/>
      <c r="E435" s="12"/>
      <c r="F435" s="1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12"/>
      <c r="B436" s="12" t="str">
        <f t="shared" si="1"/>
        <v/>
      </c>
      <c r="C436" s="12"/>
      <c r="D436" s="12"/>
      <c r="E436" s="12"/>
      <c r="F436" s="1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12"/>
      <c r="B437" s="12" t="str">
        <f t="shared" si="1"/>
        <v/>
      </c>
      <c r="C437" s="12"/>
      <c r="D437" s="12"/>
      <c r="E437" s="12"/>
      <c r="F437" s="1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12"/>
      <c r="B438" s="12" t="str">
        <f t="shared" si="1"/>
        <v/>
      </c>
      <c r="C438" s="12"/>
      <c r="D438" s="12"/>
      <c r="E438" s="12"/>
      <c r="F438" s="1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12"/>
      <c r="B439" s="12" t="str">
        <f t="shared" si="1"/>
        <v/>
      </c>
      <c r="C439" s="12"/>
      <c r="D439" s="12"/>
      <c r="E439" s="12"/>
      <c r="F439" s="1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12"/>
      <c r="B440" s="12" t="str">
        <f t="shared" si="1"/>
        <v/>
      </c>
      <c r="C440" s="12"/>
      <c r="D440" s="12"/>
      <c r="E440" s="12"/>
      <c r="F440" s="1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12"/>
      <c r="B441" s="12" t="str">
        <f t="shared" si="1"/>
        <v/>
      </c>
      <c r="C441" s="12"/>
      <c r="D441" s="12"/>
      <c r="E441" s="12"/>
      <c r="F441" s="1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12"/>
      <c r="B442" s="12" t="str">
        <f t="shared" si="1"/>
        <v/>
      </c>
      <c r="C442" s="12"/>
      <c r="D442" s="12"/>
      <c r="E442" s="12"/>
      <c r="F442" s="1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12"/>
      <c r="B443" s="12" t="str">
        <f t="shared" si="1"/>
        <v/>
      </c>
      <c r="C443" s="12"/>
      <c r="D443" s="12"/>
      <c r="E443" s="12"/>
      <c r="F443" s="1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12"/>
      <c r="B444" s="12" t="str">
        <f t="shared" si="1"/>
        <v/>
      </c>
      <c r="C444" s="12"/>
      <c r="D444" s="12"/>
      <c r="E444" s="12"/>
      <c r="F444" s="1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12"/>
      <c r="B445" s="12" t="str">
        <f t="shared" si="1"/>
        <v/>
      </c>
      <c r="C445" s="12"/>
      <c r="D445" s="12"/>
      <c r="E445" s="12"/>
      <c r="F445" s="1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12"/>
      <c r="B446" s="12" t="str">
        <f t="shared" si="1"/>
        <v/>
      </c>
      <c r="C446" s="12"/>
      <c r="D446" s="12"/>
      <c r="E446" s="12"/>
      <c r="F446" s="1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12"/>
      <c r="B447" s="12" t="str">
        <f t="shared" si="1"/>
        <v/>
      </c>
      <c r="C447" s="12"/>
      <c r="D447" s="12"/>
      <c r="E447" s="12"/>
      <c r="F447" s="1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12"/>
      <c r="B448" s="12" t="str">
        <f t="shared" si="1"/>
        <v/>
      </c>
      <c r="C448" s="12"/>
      <c r="D448" s="12"/>
      <c r="E448" s="12"/>
      <c r="F448" s="1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12"/>
      <c r="B449" s="12" t="str">
        <f t="shared" si="1"/>
        <v/>
      </c>
      <c r="C449" s="12"/>
      <c r="D449" s="12"/>
      <c r="E449" s="12"/>
      <c r="F449" s="1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12"/>
      <c r="B450" s="12" t="str">
        <f t="shared" si="1"/>
        <v/>
      </c>
      <c r="C450" s="12"/>
      <c r="D450" s="12"/>
      <c r="E450" s="12"/>
      <c r="F450" s="1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12"/>
      <c r="B451" s="12" t="str">
        <f t="shared" si="1"/>
        <v/>
      </c>
      <c r="C451" s="12"/>
      <c r="D451" s="12"/>
      <c r="E451" s="12"/>
      <c r="F451" s="1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12"/>
      <c r="B452" s="12" t="str">
        <f t="shared" si="1"/>
        <v/>
      </c>
      <c r="C452" s="12"/>
      <c r="D452" s="12"/>
      <c r="E452" s="12"/>
      <c r="F452" s="1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12"/>
      <c r="B453" s="12" t="str">
        <f t="shared" si="1"/>
        <v/>
      </c>
      <c r="C453" s="12"/>
      <c r="D453" s="12"/>
      <c r="E453" s="12"/>
      <c r="F453" s="1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12"/>
      <c r="B454" s="12" t="str">
        <f t="shared" si="1"/>
        <v/>
      </c>
      <c r="C454" s="12"/>
      <c r="D454" s="12"/>
      <c r="E454" s="12"/>
      <c r="F454" s="1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12"/>
      <c r="B455" s="12" t="str">
        <f t="shared" si="1"/>
        <v/>
      </c>
      <c r="C455" s="12"/>
      <c r="D455" s="12"/>
      <c r="E455" s="12"/>
      <c r="F455" s="1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12"/>
      <c r="B456" s="12" t="str">
        <f t="shared" si="1"/>
        <v/>
      </c>
      <c r="C456" s="12"/>
      <c r="D456" s="12"/>
      <c r="E456" s="12"/>
      <c r="F456" s="1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12"/>
      <c r="B457" s="12" t="str">
        <f t="shared" si="1"/>
        <v/>
      </c>
      <c r="C457" s="12"/>
      <c r="D457" s="12"/>
      <c r="E457" s="12"/>
      <c r="F457" s="1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12"/>
      <c r="B458" s="12" t="str">
        <f t="shared" si="1"/>
        <v/>
      </c>
      <c r="C458" s="12"/>
      <c r="D458" s="12"/>
      <c r="E458" s="12"/>
      <c r="F458" s="1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12"/>
      <c r="B459" s="12"/>
      <c r="C459" s="12"/>
      <c r="D459" s="12"/>
      <c r="E459" s="12"/>
      <c r="F459" s="1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12"/>
      <c r="B460" s="12"/>
      <c r="C460" s="12"/>
      <c r="D460" s="12"/>
      <c r="E460" s="12"/>
      <c r="F460" s="1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12"/>
      <c r="B461" s="12"/>
      <c r="C461" s="12"/>
      <c r="D461" s="12"/>
      <c r="E461" s="12"/>
      <c r="F461" s="1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12"/>
      <c r="B462" s="12"/>
      <c r="C462" s="12"/>
      <c r="D462" s="12"/>
      <c r="E462" s="12"/>
      <c r="F462" s="1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12"/>
      <c r="B463" s="12"/>
      <c r="C463" s="12"/>
      <c r="D463" s="12"/>
      <c r="E463" s="12"/>
      <c r="F463" s="1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12"/>
      <c r="B464" s="12"/>
      <c r="C464" s="12"/>
      <c r="D464" s="12"/>
      <c r="E464" s="12"/>
      <c r="F464" s="1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12"/>
      <c r="B465" s="12"/>
      <c r="C465" s="12"/>
      <c r="D465" s="12"/>
      <c r="E465" s="12"/>
      <c r="F465" s="1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6"/>
      <c r="E659" s="26"/>
    </row>
    <row r="660" ht="15.75" customHeight="1">
      <c r="A660" s="26"/>
      <c r="E660" s="26"/>
    </row>
    <row r="661" ht="15.75" customHeight="1">
      <c r="A661" s="26"/>
      <c r="E661" s="26"/>
    </row>
    <row r="662" ht="15.75" customHeight="1">
      <c r="A662" s="26"/>
      <c r="E662" s="26"/>
    </row>
    <row r="663" ht="15.75" customHeight="1">
      <c r="A663" s="26"/>
      <c r="E663" s="26"/>
    </row>
    <row r="664" ht="15.75" customHeight="1">
      <c r="A664" s="26"/>
      <c r="E664" s="26"/>
    </row>
    <row r="665" ht="15.75" customHeight="1">
      <c r="A665" s="26"/>
      <c r="E665" s="26"/>
    </row>
    <row r="666" ht="15.75" customHeight="1">
      <c r="A666" s="26"/>
      <c r="E666" s="26"/>
    </row>
    <row r="667" ht="15.75" customHeight="1">
      <c r="A667" s="26"/>
      <c r="E667" s="26"/>
    </row>
    <row r="668" ht="15.75" customHeight="1">
      <c r="A668" s="26"/>
      <c r="E668" s="26"/>
    </row>
    <row r="669" ht="15.75" customHeight="1">
      <c r="A669" s="26"/>
      <c r="E669" s="26"/>
    </row>
    <row r="670" ht="15.75" customHeight="1">
      <c r="A670" s="26"/>
      <c r="E670" s="26"/>
    </row>
    <row r="671" ht="15.75" customHeight="1">
      <c r="A671" s="26"/>
      <c r="E671" s="26"/>
    </row>
    <row r="672" ht="15.75" customHeight="1">
      <c r="A672" s="26"/>
      <c r="E672" s="26"/>
    </row>
    <row r="673" ht="15.75" customHeight="1">
      <c r="A673" s="26"/>
      <c r="E673" s="26"/>
    </row>
    <row r="674" ht="15.75" customHeight="1">
      <c r="A674" s="26"/>
      <c r="E674" s="26"/>
    </row>
    <row r="675" ht="15.75" customHeight="1">
      <c r="A675" s="26"/>
      <c r="E675" s="26"/>
    </row>
    <row r="676" ht="15.75" customHeight="1">
      <c r="A676" s="26"/>
      <c r="E676" s="26"/>
    </row>
    <row r="677" ht="15.75" customHeight="1">
      <c r="A677" s="26"/>
      <c r="E677" s="26"/>
    </row>
    <row r="678" ht="15.75" customHeight="1">
      <c r="A678" s="26"/>
      <c r="E678" s="26"/>
    </row>
    <row r="679" ht="15.75" customHeight="1">
      <c r="A679" s="26"/>
      <c r="E679" s="26"/>
    </row>
    <row r="680" ht="15.75" customHeight="1">
      <c r="A680" s="26"/>
      <c r="E680" s="26"/>
    </row>
    <row r="681" ht="15.75" customHeight="1">
      <c r="A681" s="26"/>
      <c r="E681" s="26"/>
    </row>
    <row r="682" ht="15.75" customHeight="1">
      <c r="A682" s="26"/>
      <c r="E682" s="26"/>
    </row>
    <row r="683" ht="15.75" customHeight="1">
      <c r="A683" s="26"/>
      <c r="E683" s="26"/>
    </row>
    <row r="684" ht="15.75" customHeight="1">
      <c r="A684" s="26"/>
      <c r="E684" s="26"/>
    </row>
    <row r="685" ht="15.75" customHeight="1">
      <c r="A685" s="26"/>
      <c r="E685" s="26"/>
    </row>
    <row r="686" ht="15.75" customHeight="1">
      <c r="A686" s="26"/>
      <c r="E686" s="26"/>
    </row>
    <row r="687" ht="15.75" customHeight="1">
      <c r="A687" s="26"/>
      <c r="E687" s="26"/>
    </row>
    <row r="688" ht="15.75" customHeight="1">
      <c r="A688" s="26"/>
      <c r="E688" s="26"/>
    </row>
    <row r="689" ht="15.75" customHeight="1">
      <c r="A689" s="26"/>
      <c r="E689" s="26"/>
    </row>
    <row r="690" ht="15.75" customHeight="1">
      <c r="A690" s="26"/>
      <c r="E690" s="26"/>
    </row>
    <row r="691" ht="15.75" customHeight="1">
      <c r="A691" s="26"/>
      <c r="E691" s="26"/>
    </row>
    <row r="692" ht="15.75" customHeight="1">
      <c r="A692" s="26"/>
      <c r="E692" s="26"/>
    </row>
    <row r="693" ht="15.75" customHeight="1">
      <c r="A693" s="26"/>
      <c r="E693" s="26"/>
    </row>
    <row r="694" ht="15.75" customHeight="1">
      <c r="A694" s="26"/>
      <c r="E694" s="26"/>
    </row>
    <row r="695" ht="15.75" customHeight="1">
      <c r="A695" s="26"/>
      <c r="E695" s="26"/>
    </row>
    <row r="696" ht="15.75" customHeight="1">
      <c r="A696" s="26"/>
      <c r="E696" s="26"/>
    </row>
    <row r="697" ht="15.75" customHeight="1">
      <c r="A697" s="26"/>
      <c r="E697" s="26"/>
    </row>
    <row r="698" ht="15.75" customHeight="1">
      <c r="A698" s="26"/>
      <c r="E698" s="26"/>
    </row>
    <row r="699" ht="15.75" customHeight="1">
      <c r="A699" s="26"/>
      <c r="E699" s="26"/>
    </row>
    <row r="700" ht="15.75" customHeight="1">
      <c r="A700" s="26"/>
      <c r="E700" s="26"/>
    </row>
    <row r="701" ht="15.75" customHeight="1">
      <c r="A701" s="26"/>
      <c r="E701" s="26"/>
    </row>
    <row r="702" ht="15.75" customHeight="1">
      <c r="A702" s="26"/>
      <c r="E702" s="26"/>
    </row>
    <row r="703" ht="15.75" customHeight="1">
      <c r="A703" s="26"/>
      <c r="E703" s="26"/>
    </row>
    <row r="704" ht="15.75" customHeight="1">
      <c r="A704" s="26"/>
      <c r="E704" s="26"/>
    </row>
    <row r="705" ht="15.75" customHeight="1">
      <c r="A705" s="26"/>
      <c r="E705" s="26"/>
    </row>
    <row r="706" ht="15.75" customHeight="1">
      <c r="A706" s="26"/>
      <c r="E706" s="26"/>
    </row>
    <row r="707" ht="15.75" customHeight="1">
      <c r="A707" s="26"/>
      <c r="E707" s="26"/>
    </row>
    <row r="708" ht="15.75" customHeight="1">
      <c r="A708" s="26"/>
      <c r="E708" s="26"/>
    </row>
    <row r="709" ht="15.75" customHeight="1">
      <c r="A709" s="26"/>
      <c r="E709" s="26"/>
    </row>
    <row r="710" ht="15.75" customHeight="1">
      <c r="A710" s="26"/>
      <c r="E710" s="26"/>
    </row>
    <row r="711" ht="15.75" customHeight="1">
      <c r="A711" s="26"/>
      <c r="E711" s="26"/>
    </row>
    <row r="712" ht="15.75" customHeight="1">
      <c r="A712" s="26"/>
      <c r="E712" s="26"/>
    </row>
    <row r="713" ht="15.75" customHeight="1">
      <c r="A713" s="26"/>
      <c r="E713" s="26"/>
    </row>
    <row r="714" ht="15.75" customHeight="1">
      <c r="A714" s="26"/>
      <c r="E714" s="26"/>
    </row>
    <row r="715" ht="15.75" customHeight="1">
      <c r="A715" s="26"/>
      <c r="E715" s="26"/>
    </row>
    <row r="716" ht="15.75" customHeight="1">
      <c r="A716" s="26"/>
      <c r="E716" s="26"/>
    </row>
    <row r="717" ht="15.75" customHeight="1">
      <c r="A717" s="26"/>
      <c r="E717" s="26"/>
    </row>
    <row r="718" ht="15.75" customHeight="1">
      <c r="A718" s="26"/>
      <c r="E718" s="26"/>
    </row>
    <row r="719" ht="15.75" customHeight="1">
      <c r="A719" s="26"/>
      <c r="E719" s="26"/>
    </row>
    <row r="720" ht="15.75" customHeight="1">
      <c r="A720" s="26"/>
      <c r="E720" s="26"/>
    </row>
    <row r="721" ht="15.75" customHeight="1">
      <c r="A721" s="26"/>
      <c r="E721" s="26"/>
    </row>
    <row r="722" ht="15.75" customHeight="1">
      <c r="A722" s="26"/>
      <c r="E722" s="26"/>
    </row>
    <row r="723" ht="15.75" customHeight="1">
      <c r="A723" s="26"/>
      <c r="E723" s="26"/>
    </row>
    <row r="724" ht="15.75" customHeight="1">
      <c r="A724" s="26"/>
      <c r="E724" s="26"/>
    </row>
    <row r="725" ht="15.75" customHeight="1">
      <c r="A725" s="26"/>
      <c r="E725" s="26"/>
    </row>
    <row r="726" ht="15.75" customHeight="1">
      <c r="A726" s="26"/>
      <c r="E726" s="26"/>
    </row>
    <row r="727" ht="15.75" customHeight="1">
      <c r="A727" s="26"/>
      <c r="E727" s="26"/>
    </row>
    <row r="728" ht="15.75" customHeight="1">
      <c r="A728" s="26"/>
      <c r="E728" s="26"/>
    </row>
    <row r="729" ht="15.75" customHeight="1">
      <c r="A729" s="26"/>
      <c r="E729" s="26"/>
    </row>
    <row r="730" ht="15.75" customHeight="1">
      <c r="A730" s="26"/>
      <c r="E730" s="26"/>
    </row>
    <row r="731" ht="15.75" customHeight="1">
      <c r="A731" s="26"/>
      <c r="E731" s="26"/>
    </row>
    <row r="732" ht="15.75" customHeight="1">
      <c r="A732" s="26"/>
      <c r="E732" s="26"/>
    </row>
    <row r="733" ht="15.75" customHeight="1">
      <c r="A733" s="26"/>
      <c r="E733" s="26"/>
    </row>
    <row r="734" ht="15.75" customHeight="1">
      <c r="A734" s="26"/>
      <c r="E734" s="26"/>
    </row>
    <row r="735" ht="15.75" customHeight="1">
      <c r="A735" s="26"/>
      <c r="E735" s="26"/>
    </row>
    <row r="736" ht="15.75" customHeight="1">
      <c r="A736" s="26"/>
      <c r="E736" s="26"/>
    </row>
    <row r="737" ht="15.75" customHeight="1">
      <c r="A737" s="26"/>
      <c r="E737" s="26"/>
    </row>
    <row r="738" ht="15.75" customHeight="1">
      <c r="A738" s="26"/>
      <c r="E738" s="26"/>
    </row>
    <row r="739" ht="15.75" customHeight="1">
      <c r="A739" s="26"/>
      <c r="E739" s="26"/>
    </row>
    <row r="740" ht="15.75" customHeight="1">
      <c r="A740" s="26"/>
      <c r="E740" s="26"/>
    </row>
    <row r="741" ht="15.75" customHeight="1">
      <c r="A741" s="26"/>
      <c r="E741" s="26"/>
    </row>
    <row r="742" ht="15.75" customHeight="1">
      <c r="A742" s="26"/>
      <c r="E742" s="26"/>
    </row>
    <row r="743" ht="15.75" customHeight="1">
      <c r="A743" s="26"/>
      <c r="E743" s="26"/>
    </row>
    <row r="744" ht="15.75" customHeight="1">
      <c r="A744" s="26"/>
      <c r="E744" s="26"/>
    </row>
    <row r="745" ht="15.75" customHeight="1">
      <c r="A745" s="26"/>
      <c r="E745" s="26"/>
    </row>
    <row r="746" ht="15.75" customHeight="1">
      <c r="A746" s="26"/>
      <c r="E746" s="26"/>
    </row>
    <row r="747" ht="15.75" customHeight="1">
      <c r="A747" s="26"/>
      <c r="E747" s="26"/>
    </row>
    <row r="748" ht="15.75" customHeight="1">
      <c r="A748" s="26"/>
      <c r="E748" s="26"/>
    </row>
    <row r="749" ht="15.75" customHeight="1">
      <c r="A749" s="26"/>
      <c r="E749" s="26"/>
    </row>
    <row r="750" ht="15.75" customHeight="1">
      <c r="A750" s="26"/>
      <c r="E750" s="26"/>
    </row>
    <row r="751" ht="15.75" customHeight="1">
      <c r="A751" s="26"/>
      <c r="E751" s="26"/>
    </row>
    <row r="752" ht="15.75" customHeight="1">
      <c r="A752" s="26"/>
      <c r="E752" s="26"/>
    </row>
    <row r="753" ht="15.75" customHeight="1">
      <c r="A753" s="26"/>
      <c r="E753" s="26"/>
    </row>
    <row r="754" ht="15.75" customHeight="1">
      <c r="A754" s="26"/>
      <c r="E754" s="26"/>
    </row>
    <row r="755" ht="15.75" customHeight="1">
      <c r="A755" s="26"/>
      <c r="E755" s="26"/>
    </row>
    <row r="756" ht="15.75" customHeight="1">
      <c r="A756" s="26"/>
      <c r="E756" s="26"/>
    </row>
    <row r="757" ht="15.75" customHeight="1">
      <c r="A757" s="26"/>
      <c r="E757" s="26"/>
    </row>
    <row r="758" ht="15.75" customHeight="1">
      <c r="A758" s="26"/>
      <c r="E758" s="26"/>
    </row>
    <row r="759" ht="15.75" customHeight="1">
      <c r="A759" s="26"/>
      <c r="E759" s="26"/>
    </row>
    <row r="760" ht="15.75" customHeight="1">
      <c r="A760" s="26"/>
      <c r="E760" s="26"/>
    </row>
    <row r="761" ht="15.75" customHeight="1">
      <c r="A761" s="26"/>
      <c r="E761" s="26"/>
    </row>
    <row r="762" ht="15.75" customHeight="1">
      <c r="A762" s="26"/>
      <c r="E762" s="26"/>
    </row>
    <row r="763" ht="15.75" customHeight="1">
      <c r="A763" s="26"/>
      <c r="E763" s="26"/>
    </row>
    <row r="764" ht="15.75" customHeight="1">
      <c r="A764" s="26"/>
      <c r="E764" s="26"/>
    </row>
    <row r="765" ht="15.75" customHeight="1">
      <c r="A765" s="26"/>
      <c r="E765" s="26"/>
    </row>
    <row r="766" ht="15.75" customHeight="1">
      <c r="A766" s="26"/>
      <c r="E766" s="26"/>
    </row>
    <row r="767" ht="15.75" customHeight="1">
      <c r="A767" s="26"/>
      <c r="E767" s="26"/>
    </row>
    <row r="768" ht="15.75" customHeight="1">
      <c r="A768" s="26"/>
      <c r="E768" s="26"/>
    </row>
    <row r="769" ht="15.75" customHeight="1">
      <c r="A769" s="26"/>
      <c r="E769" s="26"/>
    </row>
    <row r="770" ht="15.75" customHeight="1">
      <c r="A770" s="26"/>
      <c r="E770" s="26"/>
    </row>
    <row r="771" ht="15.75" customHeight="1">
      <c r="A771" s="26"/>
      <c r="E771" s="26"/>
    </row>
    <row r="772" ht="15.75" customHeight="1">
      <c r="A772" s="26"/>
      <c r="E772" s="26"/>
    </row>
    <row r="773" ht="15.75" customHeight="1">
      <c r="A773" s="26"/>
      <c r="E773" s="26"/>
    </row>
    <row r="774" ht="15.75" customHeight="1">
      <c r="A774" s="26"/>
      <c r="E774" s="26"/>
    </row>
    <row r="775" ht="15.75" customHeight="1">
      <c r="A775" s="26"/>
      <c r="E775" s="26"/>
    </row>
    <row r="776" ht="15.75" customHeight="1">
      <c r="A776" s="26"/>
      <c r="E776" s="26"/>
    </row>
    <row r="777" ht="15.75" customHeight="1">
      <c r="A777" s="26"/>
      <c r="E777" s="26"/>
    </row>
    <row r="778" ht="15.75" customHeight="1">
      <c r="A778" s="26"/>
      <c r="E778" s="26"/>
    </row>
    <row r="779" ht="15.75" customHeight="1">
      <c r="A779" s="26"/>
      <c r="E779" s="26"/>
    </row>
    <row r="780" ht="15.75" customHeight="1">
      <c r="A780" s="26"/>
      <c r="E780" s="26"/>
    </row>
    <row r="781" ht="15.75" customHeight="1">
      <c r="A781" s="26"/>
      <c r="E781" s="26"/>
    </row>
    <row r="782" ht="15.75" customHeight="1">
      <c r="A782" s="26"/>
      <c r="E782" s="26"/>
    </row>
    <row r="783" ht="15.75" customHeight="1">
      <c r="A783" s="26"/>
      <c r="E783" s="26"/>
    </row>
    <row r="784" ht="15.75" customHeight="1">
      <c r="A784" s="26"/>
      <c r="E784" s="26"/>
    </row>
    <row r="785" ht="15.75" customHeight="1">
      <c r="A785" s="26"/>
      <c r="E785" s="26"/>
    </row>
    <row r="786" ht="15.75" customHeight="1">
      <c r="A786" s="26"/>
      <c r="E786" s="26"/>
    </row>
    <row r="787" ht="15.75" customHeight="1">
      <c r="A787" s="26"/>
      <c r="E787" s="26"/>
    </row>
    <row r="788" ht="15.75" customHeight="1">
      <c r="A788" s="26"/>
      <c r="E788" s="26"/>
    </row>
    <row r="789" ht="15.75" customHeight="1">
      <c r="A789" s="26"/>
      <c r="E789" s="26"/>
    </row>
    <row r="790" ht="15.75" customHeight="1">
      <c r="A790" s="26"/>
      <c r="E790" s="26"/>
    </row>
    <row r="791" ht="15.75" customHeight="1">
      <c r="A791" s="26"/>
      <c r="E791" s="26"/>
    </row>
    <row r="792" ht="15.75" customHeight="1">
      <c r="A792" s="26"/>
      <c r="E792" s="26"/>
    </row>
    <row r="793" ht="15.75" customHeight="1">
      <c r="A793" s="26"/>
      <c r="E793" s="26"/>
    </row>
    <row r="794" ht="15.75" customHeight="1">
      <c r="A794" s="26"/>
      <c r="E794" s="26"/>
    </row>
    <row r="795" ht="15.75" customHeight="1">
      <c r="A795" s="26"/>
      <c r="E795" s="26"/>
    </row>
    <row r="796" ht="15.75" customHeight="1">
      <c r="A796" s="26"/>
      <c r="E796" s="26"/>
    </row>
    <row r="797" ht="15.75" customHeight="1">
      <c r="A797" s="26"/>
      <c r="E797" s="26"/>
    </row>
    <row r="798" ht="15.75" customHeight="1">
      <c r="A798" s="26"/>
      <c r="E798" s="26"/>
    </row>
    <row r="799" ht="15.75" customHeight="1">
      <c r="A799" s="26"/>
      <c r="E799" s="26"/>
    </row>
    <row r="800" ht="15.75" customHeight="1">
      <c r="A800" s="26"/>
      <c r="E800" s="26"/>
    </row>
    <row r="801" ht="15.75" customHeight="1">
      <c r="A801" s="26"/>
      <c r="E801" s="26"/>
    </row>
    <row r="802" ht="15.75" customHeight="1">
      <c r="A802" s="26"/>
      <c r="E802" s="26"/>
    </row>
    <row r="803" ht="15.75" customHeight="1">
      <c r="A803" s="26"/>
      <c r="E803" s="26"/>
    </row>
    <row r="804" ht="15.75" customHeight="1">
      <c r="A804" s="26"/>
      <c r="E804" s="26"/>
    </row>
    <row r="805" ht="15.75" customHeight="1">
      <c r="A805" s="26"/>
      <c r="E805" s="26"/>
    </row>
    <row r="806" ht="15.75" customHeight="1">
      <c r="A806" s="26"/>
      <c r="E806" s="26"/>
    </row>
    <row r="807" ht="15.75" customHeight="1">
      <c r="A807" s="26"/>
      <c r="E807" s="26"/>
    </row>
    <row r="808" ht="15.75" customHeight="1">
      <c r="A808" s="26"/>
      <c r="E808" s="26"/>
    </row>
    <row r="809" ht="15.75" customHeight="1">
      <c r="A809" s="26"/>
      <c r="E809" s="26"/>
    </row>
    <row r="810" ht="15.75" customHeight="1">
      <c r="A810" s="26"/>
      <c r="E810" s="26"/>
    </row>
    <row r="811" ht="15.75" customHeight="1">
      <c r="A811" s="26"/>
      <c r="E811" s="26"/>
    </row>
    <row r="812" ht="15.75" customHeight="1">
      <c r="A812" s="26"/>
      <c r="E812" s="26"/>
    </row>
    <row r="813" ht="15.75" customHeight="1">
      <c r="A813" s="26"/>
      <c r="E813" s="26"/>
    </row>
    <row r="814" ht="15.75" customHeight="1">
      <c r="A814" s="26"/>
      <c r="E814" s="26"/>
    </row>
    <row r="815" ht="15.75" customHeight="1">
      <c r="A815" s="26"/>
      <c r="E815" s="26"/>
    </row>
    <row r="816" ht="15.75" customHeight="1">
      <c r="A816" s="26"/>
      <c r="E816" s="26"/>
    </row>
    <row r="817" ht="15.75" customHeight="1">
      <c r="A817" s="26"/>
      <c r="E817" s="26"/>
    </row>
    <row r="818" ht="15.75" customHeight="1">
      <c r="A818" s="26"/>
      <c r="E818" s="26"/>
    </row>
    <row r="819" ht="15.75" customHeight="1">
      <c r="A819" s="26"/>
      <c r="E819" s="26"/>
    </row>
    <row r="820" ht="15.75" customHeight="1">
      <c r="A820" s="26"/>
      <c r="E820" s="26"/>
    </row>
    <row r="821" ht="15.75" customHeight="1">
      <c r="A821" s="26"/>
      <c r="E821" s="26"/>
    </row>
    <row r="822" ht="15.75" customHeight="1">
      <c r="A822" s="26"/>
      <c r="E822" s="26"/>
    </row>
    <row r="823" ht="15.75" customHeight="1">
      <c r="A823" s="26"/>
      <c r="E823" s="26"/>
    </row>
    <row r="824" ht="15.75" customHeight="1">
      <c r="A824" s="26"/>
      <c r="E824" s="26"/>
    </row>
    <row r="825" ht="15.75" customHeight="1">
      <c r="A825" s="26"/>
      <c r="E825" s="26"/>
    </row>
    <row r="826" ht="15.75" customHeight="1">
      <c r="A826" s="26"/>
      <c r="E826" s="26"/>
    </row>
    <row r="827" ht="15.75" customHeight="1">
      <c r="A827" s="26"/>
      <c r="E827" s="26"/>
    </row>
    <row r="828" ht="15.75" customHeight="1">
      <c r="A828" s="26"/>
      <c r="E828" s="26"/>
    </row>
    <row r="829" ht="15.75" customHeight="1">
      <c r="A829" s="26"/>
      <c r="E829" s="26"/>
    </row>
    <row r="830" ht="15.75" customHeight="1">
      <c r="A830" s="26"/>
      <c r="E830" s="26"/>
    </row>
    <row r="831" ht="15.75" customHeight="1">
      <c r="A831" s="26"/>
      <c r="E831" s="26"/>
    </row>
    <row r="832" ht="15.75" customHeight="1">
      <c r="A832" s="26"/>
      <c r="E832" s="26"/>
    </row>
    <row r="833" ht="15.75" customHeight="1">
      <c r="A833" s="26"/>
      <c r="E833" s="26"/>
    </row>
    <row r="834" ht="15.75" customHeight="1">
      <c r="A834" s="26"/>
      <c r="E834" s="26"/>
    </row>
    <row r="835" ht="15.75" customHeight="1">
      <c r="A835" s="26"/>
      <c r="E835" s="26"/>
    </row>
    <row r="836" ht="15.75" customHeight="1">
      <c r="A836" s="26"/>
      <c r="E836" s="26"/>
    </row>
    <row r="837" ht="15.75" customHeight="1">
      <c r="A837" s="26"/>
      <c r="E837" s="26"/>
    </row>
    <row r="838" ht="15.75" customHeight="1">
      <c r="A838" s="26"/>
      <c r="E838" s="26"/>
    </row>
    <row r="839" ht="15.75" customHeight="1">
      <c r="A839" s="26"/>
      <c r="E839" s="26"/>
    </row>
    <row r="840" ht="15.75" customHeight="1">
      <c r="A840" s="26"/>
      <c r="E840" s="26"/>
    </row>
    <row r="841" ht="15.75" customHeight="1">
      <c r="A841" s="26"/>
      <c r="E841" s="26"/>
    </row>
    <row r="842" ht="15.75" customHeight="1">
      <c r="A842" s="26"/>
      <c r="E842" s="26"/>
    </row>
    <row r="843" ht="15.75" customHeight="1">
      <c r="A843" s="26"/>
      <c r="E843" s="26"/>
    </row>
    <row r="844" ht="15.75" customHeight="1">
      <c r="A844" s="26"/>
      <c r="E844" s="26"/>
    </row>
    <row r="845" ht="15.75" customHeight="1">
      <c r="A845" s="26"/>
      <c r="E845" s="26"/>
    </row>
    <row r="846" ht="15.75" customHeight="1">
      <c r="A846" s="26"/>
      <c r="E846" s="26"/>
    </row>
    <row r="847" ht="15.75" customHeight="1">
      <c r="A847" s="26"/>
      <c r="E847" s="26"/>
    </row>
    <row r="848" ht="15.75" customHeight="1">
      <c r="A848" s="26"/>
      <c r="E848" s="26"/>
    </row>
    <row r="849" ht="15.75" customHeight="1">
      <c r="A849" s="26"/>
      <c r="E849" s="26"/>
    </row>
    <row r="850" ht="15.75" customHeight="1">
      <c r="A850" s="26"/>
      <c r="E850" s="26"/>
    </row>
    <row r="851" ht="15.75" customHeight="1">
      <c r="A851" s="26"/>
      <c r="E851" s="26"/>
    </row>
    <row r="852" ht="15.75" customHeight="1">
      <c r="A852" s="26"/>
      <c r="E852" s="26"/>
    </row>
    <row r="853" ht="15.75" customHeight="1">
      <c r="A853" s="26"/>
      <c r="E853" s="26"/>
    </row>
    <row r="854" ht="15.75" customHeight="1">
      <c r="A854" s="26"/>
      <c r="E854" s="26"/>
    </row>
    <row r="855" ht="15.75" customHeight="1">
      <c r="A855" s="26"/>
      <c r="E855" s="26"/>
    </row>
    <row r="856" ht="15.75" customHeight="1">
      <c r="A856" s="26"/>
      <c r="E856" s="26"/>
    </row>
    <row r="857" ht="15.75" customHeight="1">
      <c r="A857" s="26"/>
      <c r="E857" s="26"/>
    </row>
    <row r="858" ht="15.75" customHeight="1">
      <c r="A858" s="26"/>
      <c r="E858" s="26"/>
    </row>
    <row r="859" ht="15.75" customHeight="1">
      <c r="A859" s="26"/>
      <c r="E859" s="26"/>
    </row>
    <row r="860" ht="15.75" customHeight="1">
      <c r="A860" s="26"/>
      <c r="E860" s="26"/>
    </row>
    <row r="861" ht="15.75" customHeight="1">
      <c r="A861" s="26"/>
      <c r="E861" s="26"/>
    </row>
    <row r="862" ht="15.75" customHeight="1">
      <c r="A862" s="26"/>
      <c r="E862" s="26"/>
    </row>
    <row r="863" ht="15.75" customHeight="1">
      <c r="A863" s="26"/>
      <c r="E863" s="26"/>
    </row>
    <row r="864" ht="15.75" customHeight="1">
      <c r="A864" s="26"/>
      <c r="E864" s="26"/>
    </row>
    <row r="865" ht="15.75" customHeight="1">
      <c r="A865" s="26"/>
      <c r="E865" s="26"/>
    </row>
    <row r="866" ht="15.75" customHeight="1">
      <c r="A866" s="26"/>
      <c r="E866" s="26"/>
    </row>
    <row r="867" ht="15.75" customHeight="1">
      <c r="A867" s="26"/>
      <c r="E867" s="26"/>
    </row>
    <row r="868" ht="15.75" customHeight="1">
      <c r="A868" s="26"/>
      <c r="E868" s="26"/>
    </row>
    <row r="869" ht="15.75" customHeight="1">
      <c r="A869" s="26"/>
      <c r="E869" s="26"/>
    </row>
    <row r="870" ht="15.75" customHeight="1">
      <c r="A870" s="26"/>
      <c r="E870" s="26"/>
    </row>
    <row r="871" ht="15.75" customHeight="1">
      <c r="A871" s="26"/>
      <c r="E871" s="26"/>
    </row>
    <row r="872" ht="15.75" customHeight="1">
      <c r="A872" s="26"/>
      <c r="E872" s="26"/>
    </row>
    <row r="873" ht="15.75" customHeight="1">
      <c r="A873" s="26"/>
      <c r="E873" s="26"/>
    </row>
    <row r="874" ht="15.75" customHeight="1">
      <c r="A874" s="26"/>
      <c r="E874" s="26"/>
    </row>
    <row r="875" ht="15.75" customHeight="1">
      <c r="A875" s="26"/>
      <c r="E875" s="26"/>
    </row>
    <row r="876" ht="15.75" customHeight="1">
      <c r="A876" s="26"/>
      <c r="E876" s="26"/>
    </row>
    <row r="877" ht="15.75" customHeight="1">
      <c r="A877" s="26"/>
      <c r="E877" s="26"/>
    </row>
    <row r="878" ht="15.75" customHeight="1">
      <c r="A878" s="26"/>
      <c r="E878" s="26"/>
    </row>
    <row r="879" ht="15.75" customHeight="1">
      <c r="A879" s="26"/>
      <c r="E879" s="26"/>
    </row>
    <row r="880" ht="15.75" customHeight="1">
      <c r="A880" s="26"/>
      <c r="E880" s="26"/>
    </row>
    <row r="881" ht="15.75" customHeight="1">
      <c r="A881" s="26"/>
      <c r="E881" s="26"/>
    </row>
    <row r="882" ht="15.75" customHeight="1">
      <c r="A882" s="26"/>
      <c r="E882" s="26"/>
    </row>
    <row r="883" ht="15.75" customHeight="1">
      <c r="A883" s="26"/>
      <c r="E883" s="26"/>
    </row>
    <row r="884" ht="15.75" customHeight="1">
      <c r="A884" s="26"/>
      <c r="E884" s="26"/>
    </row>
    <row r="885" ht="15.75" customHeight="1">
      <c r="A885" s="26"/>
      <c r="E885" s="26"/>
    </row>
    <row r="886" ht="15.75" customHeight="1">
      <c r="A886" s="26"/>
      <c r="E886" s="26"/>
    </row>
    <row r="887" ht="15.75" customHeight="1">
      <c r="A887" s="26"/>
      <c r="E887" s="26"/>
    </row>
    <row r="888" ht="15.75" customHeight="1">
      <c r="A888" s="26"/>
      <c r="E888" s="26"/>
    </row>
    <row r="889" ht="15.75" customHeight="1">
      <c r="A889" s="26"/>
      <c r="E889" s="26"/>
    </row>
    <row r="890" ht="15.75" customHeight="1">
      <c r="A890" s="26"/>
      <c r="E890" s="26"/>
    </row>
    <row r="891" ht="15.75" customHeight="1">
      <c r="A891" s="26"/>
      <c r="E891" s="26"/>
    </row>
    <row r="892" ht="15.75" customHeight="1">
      <c r="A892" s="26"/>
      <c r="E892" s="26"/>
    </row>
    <row r="893" ht="15.75" customHeight="1">
      <c r="A893" s="26"/>
      <c r="E893" s="26"/>
    </row>
    <row r="894" ht="15.75" customHeight="1">
      <c r="A894" s="26"/>
      <c r="E894" s="26"/>
    </row>
    <row r="895" ht="15.75" customHeight="1">
      <c r="A895" s="26"/>
      <c r="E895" s="26"/>
    </row>
    <row r="896" ht="15.75" customHeight="1">
      <c r="A896" s="26"/>
      <c r="E896" s="26"/>
    </row>
    <row r="897" ht="15.75" customHeight="1">
      <c r="A897" s="26"/>
      <c r="E897" s="26"/>
    </row>
    <row r="898" ht="15.75" customHeight="1">
      <c r="A898" s="26"/>
      <c r="E898" s="26"/>
    </row>
    <row r="899" ht="15.75" customHeight="1">
      <c r="A899" s="26"/>
      <c r="E899" s="26"/>
    </row>
    <row r="900" ht="15.75" customHeight="1">
      <c r="A900" s="26"/>
      <c r="E900" s="26"/>
    </row>
    <row r="901" ht="15.75" customHeight="1">
      <c r="A901" s="26"/>
      <c r="E901" s="26"/>
    </row>
    <row r="902" ht="15.75" customHeight="1">
      <c r="A902" s="26"/>
      <c r="E902" s="26"/>
    </row>
    <row r="903" ht="15.75" customHeight="1">
      <c r="A903" s="26"/>
      <c r="E903" s="26"/>
    </row>
    <row r="904" ht="15.75" customHeight="1">
      <c r="A904" s="26"/>
      <c r="E904" s="26"/>
    </row>
    <row r="905" ht="15.75" customHeight="1">
      <c r="A905" s="26"/>
      <c r="E905" s="26"/>
    </row>
    <row r="906" ht="15.75" customHeight="1">
      <c r="A906" s="26"/>
      <c r="E906" s="26"/>
    </row>
    <row r="907" ht="15.75" customHeight="1">
      <c r="A907" s="26"/>
      <c r="E907" s="26"/>
    </row>
    <row r="908" ht="15.75" customHeight="1">
      <c r="A908" s="26"/>
      <c r="E908" s="26"/>
    </row>
    <row r="909" ht="15.75" customHeight="1">
      <c r="A909" s="26"/>
      <c r="E909" s="26"/>
    </row>
    <row r="910" ht="15.75" customHeight="1">
      <c r="A910" s="26"/>
      <c r="E910" s="26"/>
    </row>
    <row r="911" ht="15.75" customHeight="1">
      <c r="A911" s="26"/>
      <c r="E911" s="26"/>
    </row>
    <row r="912" ht="15.75" customHeight="1">
      <c r="A912" s="26"/>
      <c r="E912" s="26"/>
    </row>
    <row r="913" ht="15.75" customHeight="1">
      <c r="A913" s="26"/>
      <c r="E913" s="26"/>
    </row>
    <row r="914" ht="15.75" customHeight="1">
      <c r="A914" s="26"/>
      <c r="E914" s="26"/>
    </row>
    <row r="915" ht="15.75" customHeight="1">
      <c r="A915" s="26"/>
      <c r="E915" s="26"/>
    </row>
    <row r="916" ht="15.75" customHeight="1">
      <c r="A916" s="26"/>
      <c r="E916" s="26"/>
    </row>
    <row r="917" ht="15.75" customHeight="1">
      <c r="A917" s="26"/>
      <c r="E917" s="26"/>
    </row>
    <row r="918" ht="15.75" customHeight="1">
      <c r="A918" s="26"/>
      <c r="E918" s="26"/>
    </row>
    <row r="919" ht="15.75" customHeight="1">
      <c r="A919" s="26"/>
      <c r="E919" s="26"/>
    </row>
    <row r="920" ht="15.75" customHeight="1">
      <c r="A920" s="26"/>
      <c r="E920" s="26"/>
    </row>
    <row r="921" ht="15.75" customHeight="1">
      <c r="A921" s="26"/>
      <c r="E921" s="26"/>
    </row>
    <row r="922" ht="15.75" customHeight="1">
      <c r="A922" s="26"/>
      <c r="E922" s="26"/>
    </row>
    <row r="923" ht="15.75" customHeight="1">
      <c r="A923" s="26"/>
      <c r="E923" s="26"/>
    </row>
    <row r="924" ht="15.75" customHeight="1">
      <c r="A924" s="26"/>
      <c r="E924" s="26"/>
    </row>
    <row r="925" ht="15.75" customHeight="1">
      <c r="A925" s="26"/>
      <c r="E925" s="26"/>
    </row>
    <row r="926" ht="15.75" customHeight="1">
      <c r="A926" s="26"/>
      <c r="E926" s="26"/>
    </row>
    <row r="927" ht="15.75" customHeight="1">
      <c r="A927" s="26"/>
      <c r="E927" s="26"/>
    </row>
    <row r="928" ht="15.75" customHeight="1">
      <c r="A928" s="26"/>
      <c r="E928" s="26"/>
    </row>
    <row r="929" ht="15.75" customHeight="1">
      <c r="A929" s="26"/>
      <c r="E929" s="26"/>
    </row>
    <row r="930" ht="15.75" customHeight="1">
      <c r="A930" s="26"/>
      <c r="E930" s="26"/>
    </row>
    <row r="931" ht="15.75" customHeight="1">
      <c r="A931" s="26"/>
      <c r="E931" s="26"/>
    </row>
    <row r="932" ht="15.75" customHeight="1">
      <c r="A932" s="26"/>
      <c r="E932" s="26"/>
    </row>
    <row r="933" ht="15.75" customHeight="1">
      <c r="A933" s="26"/>
      <c r="E933" s="26"/>
    </row>
    <row r="934" ht="15.75" customHeight="1">
      <c r="A934" s="26"/>
      <c r="E934" s="26"/>
    </row>
    <row r="935" ht="15.75" customHeight="1">
      <c r="A935" s="26"/>
      <c r="E935" s="26"/>
    </row>
    <row r="936" ht="15.75" customHeight="1">
      <c r="A936" s="26"/>
      <c r="E936" s="26"/>
    </row>
    <row r="937" ht="15.75" customHeight="1">
      <c r="A937" s="26"/>
      <c r="E937" s="26"/>
    </row>
    <row r="938" ht="15.75" customHeight="1">
      <c r="A938" s="26"/>
      <c r="E938" s="26"/>
    </row>
    <row r="939" ht="15.75" customHeight="1">
      <c r="A939" s="26"/>
      <c r="E939" s="26"/>
    </row>
    <row r="940" ht="15.75" customHeight="1">
      <c r="A940" s="26"/>
      <c r="E940" s="26"/>
    </row>
    <row r="941" ht="15.75" customHeight="1">
      <c r="A941" s="26"/>
      <c r="E941" s="26"/>
    </row>
    <row r="942" ht="15.75" customHeight="1">
      <c r="A942" s="26"/>
      <c r="E942" s="26"/>
    </row>
    <row r="943" ht="15.75" customHeight="1">
      <c r="A943" s="26"/>
      <c r="E943" s="26"/>
    </row>
    <row r="944" ht="15.75" customHeight="1">
      <c r="A944" s="26"/>
      <c r="E944" s="26"/>
    </row>
    <row r="945" ht="15.75" customHeight="1">
      <c r="A945" s="26"/>
      <c r="E945" s="26"/>
    </row>
    <row r="946" ht="15.75" customHeight="1">
      <c r="A946" s="26"/>
      <c r="E946" s="26"/>
    </row>
    <row r="947" ht="15.75" customHeight="1">
      <c r="A947" s="26"/>
      <c r="E947" s="26"/>
    </row>
    <row r="948" ht="15.75" customHeight="1">
      <c r="A948" s="26"/>
      <c r="E948" s="26"/>
    </row>
    <row r="949" ht="15.75" customHeight="1">
      <c r="A949" s="26"/>
      <c r="E949" s="26"/>
    </row>
    <row r="950" ht="15.75" customHeight="1">
      <c r="A950" s="26"/>
      <c r="E950" s="26"/>
    </row>
    <row r="951" ht="15.75" customHeight="1">
      <c r="A951" s="26"/>
      <c r="E951" s="26"/>
    </row>
    <row r="952" ht="15.75" customHeight="1">
      <c r="A952" s="26"/>
      <c r="E952" s="26"/>
    </row>
    <row r="953" ht="15.75" customHeight="1">
      <c r="A953" s="26"/>
      <c r="E953" s="26"/>
    </row>
    <row r="954" ht="15.75" customHeight="1">
      <c r="A954" s="26"/>
      <c r="E954" s="26"/>
    </row>
    <row r="955" ht="15.75" customHeight="1">
      <c r="A955" s="26"/>
      <c r="E955" s="26"/>
    </row>
    <row r="956" ht="15.75" customHeight="1">
      <c r="A956" s="26"/>
      <c r="E956" s="26"/>
    </row>
    <row r="957" ht="15.75" customHeight="1">
      <c r="A957" s="26"/>
      <c r="E957" s="26"/>
    </row>
    <row r="958" ht="15.75" customHeight="1">
      <c r="A958" s="26"/>
      <c r="E958" s="26"/>
    </row>
    <row r="959" ht="15.75" customHeight="1">
      <c r="A959" s="26"/>
      <c r="E959" s="26"/>
    </row>
    <row r="960" ht="15.75" customHeight="1">
      <c r="A960" s="26"/>
      <c r="E960" s="26"/>
    </row>
    <row r="961" ht="15.75" customHeight="1">
      <c r="A961" s="26"/>
      <c r="E961" s="26"/>
    </row>
    <row r="962" ht="15.75" customHeight="1">
      <c r="A962" s="26"/>
      <c r="E962" s="26"/>
    </row>
    <row r="963" ht="15.75" customHeight="1">
      <c r="A963" s="26"/>
      <c r="E963" s="26"/>
    </row>
    <row r="964" ht="15.75" customHeight="1">
      <c r="A964" s="26"/>
      <c r="E964" s="26"/>
    </row>
    <row r="965" ht="15.75" customHeight="1">
      <c r="A965" s="26"/>
      <c r="E965" s="26"/>
    </row>
    <row r="966" ht="15.75" customHeight="1">
      <c r="A966" s="26"/>
      <c r="E966" s="26"/>
    </row>
    <row r="967" ht="15.75" customHeight="1">
      <c r="A967" s="26"/>
      <c r="E967" s="26"/>
    </row>
    <row r="968" ht="15.75" customHeight="1">
      <c r="A968" s="26"/>
      <c r="E968" s="26"/>
    </row>
    <row r="969" ht="15.75" customHeight="1">
      <c r="A969" s="26"/>
      <c r="E969" s="26"/>
    </row>
    <row r="970" ht="15.75" customHeight="1">
      <c r="A970" s="26"/>
      <c r="E970" s="26"/>
    </row>
    <row r="971" ht="15.75" customHeight="1">
      <c r="A971" s="26"/>
      <c r="E971" s="26"/>
    </row>
    <row r="972" ht="15.75" customHeight="1">
      <c r="A972" s="26"/>
      <c r="E972" s="26"/>
    </row>
    <row r="973" ht="15.75" customHeight="1">
      <c r="A973" s="26"/>
      <c r="E973" s="26"/>
    </row>
    <row r="974" ht="15.75" customHeight="1">
      <c r="A974" s="26"/>
      <c r="E974" s="26"/>
    </row>
    <row r="975" ht="15.75" customHeight="1">
      <c r="A975" s="26"/>
      <c r="E975" s="26"/>
    </row>
    <row r="976" ht="15.75" customHeight="1">
      <c r="A976" s="26"/>
      <c r="E976" s="26"/>
    </row>
    <row r="977" ht="15.75" customHeight="1">
      <c r="A977" s="26"/>
      <c r="E977" s="26"/>
    </row>
    <row r="978" ht="15.75" customHeight="1">
      <c r="A978" s="26"/>
      <c r="E978" s="26"/>
    </row>
    <row r="979" ht="15.75" customHeight="1">
      <c r="A979" s="26"/>
      <c r="E979" s="26"/>
    </row>
    <row r="980" ht="15.75" customHeight="1">
      <c r="A980" s="26"/>
      <c r="E980" s="26"/>
    </row>
    <row r="981" ht="15.75" customHeight="1">
      <c r="A981" s="26"/>
      <c r="E981" s="26"/>
    </row>
    <row r="982" ht="15.75" customHeight="1">
      <c r="A982" s="26"/>
      <c r="E982" s="26"/>
    </row>
    <row r="983" ht="15.75" customHeight="1">
      <c r="A983" s="26"/>
      <c r="E983" s="26"/>
    </row>
    <row r="984" ht="15.75" customHeight="1">
      <c r="A984" s="26"/>
      <c r="E984" s="26"/>
    </row>
    <row r="985" ht="15.75" customHeight="1">
      <c r="A985" s="26"/>
      <c r="E985" s="26"/>
    </row>
    <row r="986" ht="15.75" customHeight="1">
      <c r="A986" s="26"/>
      <c r="E986" s="26"/>
    </row>
    <row r="987" ht="15.75" customHeight="1">
      <c r="A987" s="26"/>
      <c r="E987" s="26"/>
    </row>
    <row r="988" ht="15.75" customHeight="1">
      <c r="A988" s="26"/>
      <c r="E988" s="26"/>
    </row>
    <row r="989" ht="15.75" customHeight="1">
      <c r="A989" s="26"/>
      <c r="E989" s="26"/>
    </row>
    <row r="990" ht="15.75" customHeight="1">
      <c r="A990" s="26"/>
      <c r="E990" s="26"/>
    </row>
    <row r="991" ht="15.75" customHeight="1">
      <c r="A991" s="26"/>
      <c r="E991" s="26"/>
    </row>
    <row r="992" ht="15.75" customHeight="1">
      <c r="A992" s="26"/>
      <c r="E992" s="26"/>
    </row>
    <row r="993" ht="15.75" customHeight="1">
      <c r="A993" s="26"/>
      <c r="E993" s="26"/>
    </row>
    <row r="994" ht="15.75" customHeight="1">
      <c r="A994" s="26"/>
      <c r="E994" s="26"/>
    </row>
    <row r="995" ht="15.75" customHeight="1">
      <c r="A995" s="26"/>
      <c r="E995" s="26"/>
    </row>
    <row r="996" ht="15.75" customHeight="1">
      <c r="A996" s="26"/>
      <c r="E996" s="26"/>
    </row>
    <row r="997" ht="15.75" customHeight="1">
      <c r="A997" s="26"/>
      <c r="E997" s="26"/>
    </row>
    <row r="998" ht="15.75" customHeight="1">
      <c r="A998" s="26"/>
      <c r="E998" s="26"/>
    </row>
    <row r="999" ht="15.75" customHeight="1">
      <c r="A999" s="26"/>
      <c r="E999" s="26"/>
    </row>
    <row r="1000" ht="15.75" customHeight="1">
      <c r="A1000" s="26"/>
      <c r="E1000" s="26"/>
    </row>
  </sheetData>
  <mergeCells count="18">
    <mergeCell ref="A1:D2"/>
    <mergeCell ref="A4:B4"/>
    <mergeCell ref="C4:D4"/>
    <mergeCell ref="A6:B6"/>
    <mergeCell ref="C6:D6"/>
    <mergeCell ref="A8:B8"/>
    <mergeCell ref="C8:D8"/>
    <mergeCell ref="B38:E39"/>
    <mergeCell ref="B41:C41"/>
    <mergeCell ref="H51:K51"/>
    <mergeCell ref="B52:D52"/>
    <mergeCell ref="A10:B10"/>
    <mergeCell ref="C10:D10"/>
    <mergeCell ref="C12:D12"/>
    <mergeCell ref="A14:B14"/>
    <mergeCell ref="C14:D14"/>
    <mergeCell ref="C16:D16"/>
    <mergeCell ref="A19:B19"/>
  </mergeCells>
  <conditionalFormatting sqref="C8:D8">
    <cfRule type="cellIs" dxfId="0" priority="1" operator="lessThanOrEqual">
      <formula>50</formula>
    </cfRule>
  </conditionalFormatting>
  <dataValidations>
    <dataValidation type="custom" allowBlank="1" sqref="A65:A1000">
      <formula1>OR(NOT(ISERROR(DATEVALUE(A65))), AND(ISNUMBER(A65), LEFT(CELL("format", A65))="D"))</formula1>
    </dataValidation>
    <dataValidation type="list" allowBlank="1" sqref="E65:E1000">
      <formula1>"Others,Needs,Savings,Wants"</formula1>
    </dataValidation>
    <dataValidation type="list" allowBlank="1" sqref="E51">
      <formula1>"January,February,March,April,May,June,July,August,September,October,November,December"</formula1>
    </dataValidation>
  </dataValidations>
  <drawing r:id="rId1"/>
</worksheet>
</file>